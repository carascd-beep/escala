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ompras\Documents\psj\"/>
    </mc:Choice>
  </mc:AlternateContent>
  <xr:revisionPtr revIDLastSave="0" documentId="13_ncr:1_{C3B84260-3666-401E-804C-8B06134D6A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mes" sheetId="1" r:id="rId1"/>
    <sheet name="Planilha1" sheetId="2" r:id="rId2"/>
    <sheet name="cadastro geral " sheetId="3" r:id="rId3"/>
    <sheet name="camisetas " sheetId="5" r:id="rId4"/>
    <sheet name="encontro inspetori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5" l="1"/>
  <c r="K50" i="5"/>
  <c r="K49" i="5"/>
  <c r="E50" i="5"/>
  <c r="E49" i="5"/>
  <c r="E48" i="5"/>
  <c r="E21" i="5"/>
  <c r="E46" i="5"/>
  <c r="E45" i="5"/>
  <c r="E44" i="5"/>
  <c r="E43" i="5"/>
  <c r="E42" i="5"/>
  <c r="E41" i="5"/>
  <c r="E40" i="5"/>
  <c r="E39" i="5"/>
  <c r="E47" i="5"/>
  <c r="E37" i="5"/>
  <c r="E35" i="5"/>
  <c r="E8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38" i="5"/>
  <c r="E20" i="5"/>
  <c r="E19" i="5"/>
  <c r="E18" i="5"/>
  <c r="E17" i="5"/>
  <c r="E16" i="5"/>
  <c r="E15" i="5"/>
  <c r="E14" i="5"/>
  <c r="E13" i="5"/>
  <c r="E12" i="5"/>
  <c r="E11" i="5"/>
  <c r="E10" i="5"/>
  <c r="E9" i="5"/>
  <c r="E36" i="5"/>
  <c r="E7" i="5"/>
  <c r="E6" i="5"/>
  <c r="E5" i="5"/>
  <c r="E4" i="5"/>
  <c r="E3" i="5"/>
  <c r="E2" i="5"/>
  <c r="B61" i="4"/>
  <c r="C6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" i="3"/>
  <c r="E3" i="3"/>
  <c r="E4" i="3"/>
  <c r="E6" i="3"/>
  <c r="E7" i="3"/>
  <c r="E8" i="3"/>
  <c r="E9" i="3"/>
  <c r="E10" i="3"/>
  <c r="E12" i="3"/>
  <c r="E11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2" i="3"/>
  <c r="E31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7" i="3"/>
  <c r="E46" i="3"/>
  <c r="E48" i="3"/>
  <c r="E2" i="3"/>
  <c r="I58" i="2"/>
  <c r="I61" i="2" s="1"/>
  <c r="I54" i="2"/>
  <c r="I57" i="2" s="1"/>
  <c r="I51" i="2"/>
  <c r="K51" i="5" l="1"/>
</calcChain>
</file>

<file path=xl/sharedStrings.xml><?xml version="1.0" encoding="utf-8"?>
<sst xmlns="http://schemas.openxmlformats.org/spreadsheetml/2006/main" count="777" uniqueCount="254">
  <si>
    <t>Id</t>
  </si>
  <si>
    <t>Hora de início</t>
  </si>
  <si>
    <t>Hora de conclusão</t>
  </si>
  <si>
    <t>Email</t>
  </si>
  <si>
    <t>Nome</t>
  </si>
  <si>
    <t>Nome:</t>
  </si>
  <si>
    <t>Data Nascimento:</t>
  </si>
  <si>
    <t>Celular:</t>
  </si>
  <si>
    <t>Meu Endereço:</t>
  </si>
  <si>
    <t>Pais ou Responsáveis:</t>
  </si>
  <si>
    <t>anonymous</t>
  </si>
  <si>
    <t xml:space="preserve">Denys Carascki </t>
  </si>
  <si>
    <t>19996886919</t>
  </si>
  <si>
    <t>Rua das Angélicas, 286 Jd São Pedro - Americana/SP</t>
  </si>
  <si>
    <t xml:space="preserve">José Élvio </t>
  </si>
  <si>
    <t>Patricia Marinho</t>
  </si>
  <si>
    <t>19996091157</t>
  </si>
  <si>
    <t>rua das angélicas, 286 Cid. Jardim Americana SP</t>
  </si>
  <si>
    <t>Antonio Marinho</t>
  </si>
  <si>
    <t xml:space="preserve">Francisco Chiaranda Costa </t>
  </si>
  <si>
    <t>19 993020232</t>
  </si>
  <si>
    <t xml:space="preserve">Rua Castro Alves 117 vila jones </t>
  </si>
  <si>
    <t xml:space="preserve">Maíne Chiaranda Costa </t>
  </si>
  <si>
    <t>Mariana Nista Vaz</t>
  </si>
  <si>
    <t>19997354940</t>
  </si>
  <si>
    <t>Rua Wanthuildes Irajaia Lobo 340 Jd Terramerica 3 Americana/SP</t>
  </si>
  <si>
    <t>Luciana Nista Vaz
Marcio Aparecido Vaz</t>
  </si>
  <si>
    <t>Gabriel Silveira</t>
  </si>
  <si>
    <t>19991662784</t>
  </si>
  <si>
    <t>Rua Martins fontes N° 70</t>
  </si>
  <si>
    <t xml:space="preserve">Mariana da Silva </t>
  </si>
  <si>
    <t>Sofia Maria Pavan</t>
  </si>
  <si>
    <t>19983164746</t>
  </si>
  <si>
    <t>Rua Uruguai, 1048. Frezarim. Americana SP</t>
  </si>
  <si>
    <t xml:space="preserve">Maria Carolina Pavan Granato 
Lucas Perez Granato </t>
  </si>
  <si>
    <t xml:space="preserve">Maria Fernanda Menegalli Corrêa </t>
  </si>
  <si>
    <t>19992523115</t>
  </si>
  <si>
    <t>Rua Ferdinando Mollon, 1013 - Vila Pântano SBO</t>
  </si>
  <si>
    <t>Karin Cristina Menegalli dos Santos
Ricardo Corrêa dos Santos</t>
  </si>
  <si>
    <t>MARIA VALENTINA GODOY BUENO QUIRINO</t>
  </si>
  <si>
    <t>19 98290-1600</t>
  </si>
  <si>
    <t>RUA IMPERADOR TITO,812 - JARDIM IMPERADOR 
13479-828 - AMERICANA/SP</t>
  </si>
  <si>
    <t>MARINA STELA DE GODOY
CARLOS BUENO QUIRINO JR</t>
  </si>
  <si>
    <t xml:space="preserve">Maria Eduarda Franco Miani </t>
  </si>
  <si>
    <t xml:space="preserve">19 99319-9818 </t>
  </si>
  <si>
    <t>Rua Pirassununga, 39 - pq novo mundo 
Americana</t>
  </si>
  <si>
    <t xml:space="preserve">Mãe Fátima Aparecida Franco Miani 
Pai Gerson Miguel Miani </t>
  </si>
  <si>
    <t xml:space="preserve">Luyza Camargo Marangoni </t>
  </si>
  <si>
    <t>19996229107</t>
  </si>
  <si>
    <t>Cedros,344</t>
  </si>
  <si>
    <t>Carol/Camila</t>
  </si>
  <si>
    <t xml:space="preserve">Manuela Beatriz Barrera </t>
  </si>
  <si>
    <t xml:space="preserve">19 98912-5966 </t>
  </si>
  <si>
    <t>Rua Ângelo Ortolan, 150, Condomínio Asteca</t>
  </si>
  <si>
    <t>Marcela Gallo</t>
  </si>
  <si>
    <t>Giulia Martinez Adhmann</t>
  </si>
  <si>
    <t>19971170959</t>
  </si>
  <si>
    <t>Atair ferreira martins,358, Terramerica I</t>
  </si>
  <si>
    <t>Andreia dos Santos Martinez
Luiz Eduardo Adhmann</t>
  </si>
  <si>
    <t xml:space="preserve">Maria Luísa Forjaz de Souza </t>
  </si>
  <si>
    <t xml:space="preserve">19 992896446 </t>
  </si>
  <si>
    <t>Rua José Antônio Fuso, 178, jardim recanto das Aguas, Nova Odessa</t>
  </si>
  <si>
    <t xml:space="preserve">Ana Helena Forjaz </t>
  </si>
  <si>
    <t>Isabelle Oliveira Pessoa</t>
  </si>
  <si>
    <t>11994069904</t>
  </si>
  <si>
    <t>Rua Luiz Placido Massochetti, 431 - Jd Terramerica III - Americana</t>
  </si>
  <si>
    <t>Angelica Pessoa</t>
  </si>
  <si>
    <t xml:space="preserve">Luiz Davi Almeida Soares da Silva </t>
  </si>
  <si>
    <t>14 99648-1507</t>
  </si>
  <si>
    <t xml:space="preserve">Av. Comendador Thomaz Fortunato, Número 1.300, Casa 7, Bairro: Chácara Letônia, Americana </t>
  </si>
  <si>
    <t xml:space="preserve">Luiza Almeida Soares e Flávio Luís da Silva </t>
  </si>
  <si>
    <t>Ana Luísa Zoppi Romero</t>
  </si>
  <si>
    <t>19992773740</t>
  </si>
  <si>
    <t>Rua das Begônias, 655, Cidade Jardim,  Americana</t>
  </si>
  <si>
    <t>Marco William Romero
Lisandra Zoppi Romero</t>
  </si>
  <si>
    <t>Raquel Lima Matheus</t>
  </si>
  <si>
    <t>19993077215</t>
  </si>
  <si>
    <t>Rua Mirassol, 265 - Apto 13
Parque Novo Mundo</t>
  </si>
  <si>
    <t>Érica de Lima Bispo
Abner Matheus</t>
  </si>
  <si>
    <t>Maria Luísa Minhotti Canduro</t>
  </si>
  <si>
    <t>19993421201</t>
  </si>
  <si>
    <t>Av José Cordenonsi, 380 / jardim América 2. Americana</t>
  </si>
  <si>
    <t>Monica Paula minhotti Canduro e Rogério Canduro</t>
  </si>
  <si>
    <t xml:space="preserve">Nicolas Otávio Saturnino </t>
  </si>
  <si>
    <t>19991988630</t>
  </si>
  <si>
    <t>Rua dos Cedros 344 JD são paulo</t>
  </si>
  <si>
    <t>Camila e Franco</t>
  </si>
  <si>
    <t>Luyza Camargo Marangoni</t>
  </si>
  <si>
    <t xml:space="preserve">19 991988630 </t>
  </si>
  <si>
    <t>Rua dos cedros 344 JD são paulo</t>
  </si>
  <si>
    <t>Aline e Emerson</t>
  </si>
  <si>
    <t>Melissa Maria Peixoto da Silva</t>
  </si>
  <si>
    <t>19 996476734</t>
  </si>
  <si>
    <t xml:space="preserve">Rua dos Cedros 298 JD são paulo </t>
  </si>
  <si>
    <t>Alessandra e Renan</t>
  </si>
  <si>
    <t xml:space="preserve">Pedro Fajardo Manzi </t>
  </si>
  <si>
    <t xml:space="preserve">19 97169-1210 </t>
  </si>
  <si>
    <t xml:space="preserve">Rua Ibitinga 1592, Parque Novo Mundo </t>
  </si>
  <si>
    <t xml:space="preserve">Emanuela dos Santos Fajardo Manzi e Daniel Manzi </t>
  </si>
  <si>
    <t xml:space="preserve">Cecília Kimie Sato </t>
  </si>
  <si>
    <t xml:space="preserve">19 98834-9857 </t>
  </si>
  <si>
    <t xml:space="preserve">Rua das acácias, 1628 ap. 208
Jd. Horto Jacyra 
Cep: 13468-150 </t>
  </si>
  <si>
    <t xml:space="preserve">Joseane Cristina Aoqui Sato </t>
  </si>
  <si>
    <t xml:space="preserve">Laura goncalves Damasceno </t>
  </si>
  <si>
    <t>19991009198</t>
  </si>
  <si>
    <t>Rua duque de caxias 1000</t>
  </si>
  <si>
    <t xml:space="preserve">Elaine  e Alex </t>
  </si>
  <si>
    <t xml:space="preserve">Maria Júlia de Miranda Quinteiro </t>
  </si>
  <si>
    <t>19996212117</t>
  </si>
  <si>
    <t>Rua Santa Inês 181, bloco Luna ap 53</t>
  </si>
  <si>
    <t xml:space="preserve">Juliana Maule de Miranda Quinteiro 
Guilherme Quinteiro </t>
  </si>
  <si>
    <t xml:space="preserve">Davi arruda Moriggi </t>
  </si>
  <si>
    <t>11-98343-8886</t>
  </si>
  <si>
    <t xml:space="preserve">Rua Egito 146 vila Omar americana </t>
  </si>
  <si>
    <t xml:space="preserve">Yara aparecida arruda de Oliveira morigggi </t>
  </si>
  <si>
    <t>Luciano Gonçalves Tomiyama</t>
  </si>
  <si>
    <t>19 999778941</t>
  </si>
  <si>
    <t>Rua dos Ipes, 451 Apto 71
Jd São Paulo</t>
  </si>
  <si>
    <t>Márcia M G Tomiyama
Luciano K Tomiyama</t>
  </si>
  <si>
    <t xml:space="preserve">Theodoro de andrade camargo </t>
  </si>
  <si>
    <t xml:space="preserve">19 997585636 </t>
  </si>
  <si>
    <t>Rua João Bassora n.245 sta. Rosa Nova odessa</t>
  </si>
  <si>
    <t xml:space="preserve">Karina de andrade camargo </t>
  </si>
  <si>
    <t>Emanuell Santinati</t>
  </si>
  <si>
    <t>19 99282-0180</t>
  </si>
  <si>
    <t xml:space="preserve">Rua hortolandia 126, parque universitário, Americana </t>
  </si>
  <si>
    <t>Daniela Regina Dias Santinati
Cícero aparecido Sabino Santinati
Arthur Santinati (irmao)</t>
  </si>
  <si>
    <t>ID</t>
  </si>
  <si>
    <t>Coroinhas</t>
  </si>
  <si>
    <t>Coluna1</t>
  </si>
  <si>
    <t>Nome Caneca</t>
  </si>
  <si>
    <t>Canecas Presente</t>
  </si>
  <si>
    <t>Alice</t>
  </si>
  <si>
    <t>Patricia</t>
  </si>
  <si>
    <t>Ana Clara Furlanetti</t>
  </si>
  <si>
    <t>Ana Clara F.</t>
  </si>
  <si>
    <t>Denys</t>
  </si>
  <si>
    <t>Ana Clara Zopi Romero</t>
  </si>
  <si>
    <t>Ana Clara Z.</t>
  </si>
  <si>
    <t>Pe. Marcio</t>
  </si>
  <si>
    <t xml:space="preserve">Anna Clara Pelaquim Keller </t>
  </si>
  <si>
    <t>Pe. Reinaldo</t>
  </si>
  <si>
    <t>Arthur Santiago da Silva Nunes</t>
  </si>
  <si>
    <t>Beatriz cacesi</t>
  </si>
  <si>
    <t>Beatriz</t>
  </si>
  <si>
    <t>Bianca</t>
  </si>
  <si>
    <t>Cecília</t>
  </si>
  <si>
    <t xml:space="preserve">Davi Arruda Moriggi </t>
  </si>
  <si>
    <t>Davi Arruda</t>
  </si>
  <si>
    <t xml:space="preserve">Davi Jesus Bressan dos Santos </t>
  </si>
  <si>
    <t>Davi Bressan</t>
  </si>
  <si>
    <t xml:space="preserve">Davi Sato </t>
  </si>
  <si>
    <t>Diogo</t>
  </si>
  <si>
    <t>Emanuell</t>
  </si>
  <si>
    <t xml:space="preserve">Felipe Rebesquini de Barros </t>
  </si>
  <si>
    <t>Felipe</t>
  </si>
  <si>
    <t>Francisco</t>
  </si>
  <si>
    <t>Giulia</t>
  </si>
  <si>
    <t>Guilherme</t>
  </si>
  <si>
    <t>Isabela</t>
  </si>
  <si>
    <t xml:space="preserve">Isabelle Oliveira Pessoa </t>
  </si>
  <si>
    <t xml:space="preserve">Isis Rosalen Pradela </t>
  </si>
  <si>
    <t>Isis</t>
  </si>
  <si>
    <t xml:space="preserve">Julia Afonso Pedrina </t>
  </si>
  <si>
    <t xml:space="preserve">Julia Campos </t>
  </si>
  <si>
    <t>Julia Campos</t>
  </si>
  <si>
    <t>Júlia das Chagas Marques</t>
  </si>
  <si>
    <t>Júlia Marques</t>
  </si>
  <si>
    <t xml:space="preserve">Lívia Feltrin Tubero </t>
  </si>
  <si>
    <t>Lívia</t>
  </si>
  <si>
    <t xml:space="preserve">Livia Martinagno </t>
  </si>
  <si>
    <t>Luan Whitehead Oliveira</t>
  </si>
  <si>
    <t>Luan</t>
  </si>
  <si>
    <t>Lucas Ronquim</t>
  </si>
  <si>
    <t>Lucas</t>
  </si>
  <si>
    <t xml:space="preserve">Maria Clara Mobilon </t>
  </si>
  <si>
    <t>Maria Clara</t>
  </si>
  <si>
    <t>Maria Costa</t>
  </si>
  <si>
    <t>Maria Fernanda</t>
  </si>
  <si>
    <t xml:space="preserve">Maria Júlia De Miranda Quinteiro </t>
  </si>
  <si>
    <t xml:space="preserve">Maria Luísa Forjaz De Souza </t>
  </si>
  <si>
    <t>Maria Luísa F.</t>
  </si>
  <si>
    <t>Maria Luísa M.</t>
  </si>
  <si>
    <t>Maria Valentina Godoy Bueno Quirino</t>
  </si>
  <si>
    <t>Mariana</t>
  </si>
  <si>
    <t>Miguel Botelho Regonha</t>
  </si>
  <si>
    <t>Miguel Gonçalves</t>
  </si>
  <si>
    <t>Miguel G.</t>
  </si>
  <si>
    <t>Murilo</t>
  </si>
  <si>
    <t>Pedro</t>
  </si>
  <si>
    <t>Rafael Nista Vaz</t>
  </si>
  <si>
    <t>Rafael</t>
  </si>
  <si>
    <t>Theodoro De Andrade Camargo</t>
  </si>
  <si>
    <t>Theodoro</t>
  </si>
  <si>
    <t>Thamires</t>
  </si>
  <si>
    <t>Vinicius Bailo</t>
  </si>
  <si>
    <t>Vinicius</t>
  </si>
  <si>
    <t>Canecas 10</t>
  </si>
  <si>
    <t>canecas 30</t>
  </si>
  <si>
    <t xml:space="preserve">saldo </t>
  </si>
  <si>
    <t>data nascimento</t>
  </si>
  <si>
    <t>Alice Tonus Marinho Carascki</t>
  </si>
  <si>
    <t>coroinha</t>
  </si>
  <si>
    <t xml:space="preserve">acólito </t>
  </si>
  <si>
    <t>cerimoniário</t>
  </si>
  <si>
    <t>Murilo Maschietto Barbosa</t>
  </si>
  <si>
    <t>Thamires Antunes</t>
  </si>
  <si>
    <t>Maria Chiaranda Costa</t>
  </si>
  <si>
    <t>Guilherme T. Onaka</t>
  </si>
  <si>
    <t>Isabela Tonus Marinho Carascki</t>
  </si>
  <si>
    <t xml:space="preserve">Diogo Milani Leonardi </t>
  </si>
  <si>
    <t>Miguel Gonçalves Dias</t>
  </si>
  <si>
    <t>idade</t>
  </si>
  <si>
    <t xml:space="preserve">Davi Haruki Sato </t>
  </si>
  <si>
    <t>Bianca Martinagno Rosalen</t>
  </si>
  <si>
    <t>função</t>
  </si>
  <si>
    <t>não entrou na catequese ainda</t>
  </si>
  <si>
    <t>situação</t>
  </si>
  <si>
    <t>sem participação ativa</t>
  </si>
  <si>
    <t xml:space="preserve">preparação para novos acólitos </t>
  </si>
  <si>
    <t>acolimento em agosto de 2025</t>
  </si>
  <si>
    <t>acolhimento em agosto de 2025</t>
  </si>
  <si>
    <t>sem a Primeira Eucaristia</t>
  </si>
  <si>
    <t>esta na catequese 1ª Eucaristia</t>
  </si>
  <si>
    <t>Julia das Chagas Marques</t>
  </si>
  <si>
    <t>sim</t>
  </si>
  <si>
    <t>Francine Lopes Regonha</t>
  </si>
  <si>
    <t>Maine Chiaranda Costa</t>
  </si>
  <si>
    <t>Sérgio Fernandes Costa</t>
  </si>
  <si>
    <t>Luciana Nista Vaz</t>
  </si>
  <si>
    <t>Márcio Aparecido Vaz</t>
  </si>
  <si>
    <t>ok</t>
  </si>
  <si>
    <t xml:space="preserve">Karina </t>
  </si>
  <si>
    <t xml:space="preserve">Júlio </t>
  </si>
  <si>
    <t xml:space="preserve">sim </t>
  </si>
  <si>
    <t xml:space="preserve">motorista </t>
  </si>
  <si>
    <t xml:space="preserve">autorização </t>
  </si>
  <si>
    <t xml:space="preserve">inscrição </t>
  </si>
  <si>
    <t xml:space="preserve">ida </t>
  </si>
  <si>
    <t xml:space="preserve">volta </t>
  </si>
  <si>
    <t>tamanho</t>
  </si>
  <si>
    <t xml:space="preserve">pago </t>
  </si>
  <si>
    <t>m</t>
  </si>
  <si>
    <t>p</t>
  </si>
  <si>
    <t>g</t>
  </si>
  <si>
    <t>pg</t>
  </si>
  <si>
    <t>baby look p</t>
  </si>
  <si>
    <t>baby look 12</t>
  </si>
  <si>
    <t>baby look g</t>
  </si>
  <si>
    <t>baby look 14</t>
  </si>
  <si>
    <t xml:space="preserve">Francine </t>
  </si>
  <si>
    <t xml:space="preserve">Denys </t>
  </si>
  <si>
    <t>gg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</si>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</sst>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quotePrefix="1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1" fillId="2" borderId="1" xfId="0" applyFont="1" applyFill="1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4" borderId="0" xfId="0" applyFill="1"/>
    <xf numFmtId="0" fontId="0" fillId="5" borderId="0" xfId="0" applyFill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4" fontId="4" fillId="7" borderId="0" xfId="0" applyNumberFormat="1" applyFont="1" applyFill="1" applyAlignment="1">
      <alignment horizontal="center"/>
    </xf>
    <xf numFmtId="0" fontId="0" fillId="6" borderId="2" xfId="0" applyFill="1" applyBorder="1"/>
    <xf numFmtId="44" fontId="0" fillId="0" borderId="0" xfId="1" applyFont="1"/>
    <xf numFmtId="44" fontId="0" fillId="5" borderId="0" xfId="1" applyFont="1" applyFill="1"/>
    <xf numFmtId="0" fontId="0" fillId="5" borderId="0" xfId="0" applyFill="1" applyAlignment="1">
      <alignment horizontal="right"/>
    </xf>
    <xf numFmtId="0" fontId="0" fillId="5" borderId="2" xfId="0" applyFill="1" applyBorder="1"/>
    <xf numFmtId="0" fontId="0" fillId="5" borderId="3" xfId="0" applyFill="1" applyBorder="1"/>
  </cellXfs>
  <cellStyles count="2">
    <cellStyle name="Moeda" xfId="1" builtinId="4"/>
    <cellStyle name="Normal" xfId="0" builtinId="0"/>
  </cellStyles>
  <dxfs count="59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30" totalsRowShown="0">
  <autoFilter ref="A1:J30" xr:uid="{00000000-0009-0000-0100-000001000000}"/>
  <tableColumns count="10">
    <tableColumn id="1" xr3:uid="{00000000-0010-0000-0000-000001000000}" name="Id" dataDxfId="4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4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e:" dataDxfId="44">
      <extLst>
        <ext xmlns:xlmsforms="http://schemas.microsoft.com/office/spreadsheetml/2023/msForms" uri="{FCC71383-01E1-4257-9335-427F07BE8D7F}">
          <xlmsforms:question id="rd17917dcf5294ba5a53463b56a264a74"/>
        </ext>
      </extLst>
    </tableColumn>
    <tableColumn id="7" xr3:uid="{00000000-0010-0000-0000-000007000000}" name="Data Nascimento:">
      <extLst>
        <ext xmlns:xlmsforms="http://schemas.microsoft.com/office/spreadsheetml/2023/msForms" uri="{FCC71383-01E1-4257-9335-427F07BE8D7F}">
          <xlmsforms:question id="r6a6e4f0a2a5840678228d7e30aea85a6"/>
        </ext>
      </extLst>
    </tableColumn>
    <tableColumn id="8" xr3:uid="{00000000-0010-0000-0000-000008000000}" name="Celular:" dataDxfId="43">
      <extLst>
        <ext xmlns:xlmsforms="http://schemas.microsoft.com/office/spreadsheetml/2023/msForms" uri="{FCC71383-01E1-4257-9335-427F07BE8D7F}">
          <xlmsforms:question id="r9ccf75abe43340899e927bc2d0d3a616"/>
        </ext>
      </extLst>
    </tableColumn>
    <tableColumn id="9" xr3:uid="{00000000-0010-0000-0000-000009000000}" name="Meu Endereço:" dataDxfId="42">
      <extLst>
        <ext xmlns:xlmsforms="http://schemas.microsoft.com/office/spreadsheetml/2023/msForms" uri="{FCC71383-01E1-4257-9335-427F07BE8D7F}">
          <xlmsforms:question id="rdbda774f5f8e4390915e3e62f03595ed"/>
        </ext>
      </extLst>
    </tableColumn>
    <tableColumn id="10" xr3:uid="{00000000-0010-0000-0000-00000A000000}" name="Pais ou Responsáveis:" dataDxfId="41">
      <extLst>
        <ext xmlns:xlmsforms="http://schemas.microsoft.com/office/spreadsheetml/2023/msForms" uri="{FCC71383-01E1-4257-9335-427F07BE8D7F}">
          <xlmsforms:question id="r0111eeafc1ec496e99756d5883c605d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FuEPezz65URVRGTkZNNjUwT1Q1OE0wMlhER01OTVFHTC4u" isFormConnected="1" maxResponseId="31" latestEventMarker="3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rd17917dcf5294ba5a53463b56a264a74</xlmsforms:syncedQuestionId>
        <xlmsforms:syncedQuestionId>r6a6e4f0a2a5840678228d7e30aea85a6</xlmsforms:syncedQuestionId>
        <xlmsforms:syncedQuestionId>r9ccf75abe43340899e927bc2d0d3a616</xlmsforms:syncedQuestionId>
        <xlmsforms:syncedQuestionId>rdbda774f5f8e4390915e3e62f03595ed</xlmsforms:syncedQuestionId>
        <xlmsforms:syncedQuestionId>r0111eeafc1ec496e99756d5883c605d9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7A330-3D7D-45B4-A21E-7EDB10F5F8AE}" name="Tabela2" displayName="Tabela2" ref="G1:J51" totalsRowCount="1">
  <autoFilter ref="G1:J50" xr:uid="{8DB7A330-3D7D-45B4-A21E-7EDB10F5F8AE}"/>
  <tableColumns count="4">
    <tableColumn id="1" xr3:uid="{466A83C4-E2C3-4776-8280-B327B7AFF719}" name="ID"/>
    <tableColumn id="2" xr3:uid="{125E1E4A-01A6-43F5-90E5-630FAF4DE3D6}" name="Coroinhas" dataDxfId="40" totalsRowDxfId="39"/>
    <tableColumn id="4" xr3:uid="{AEF5D97A-D961-4F57-9D9F-46F115F949A0}" name="Coluna1" totalsRowFunction="custom" dataDxfId="38" totalsRowDxfId="37">
      <totalsRowFormula>SUM(I2:I50)</totalsRowFormula>
    </tableColumn>
    <tableColumn id="3" xr3:uid="{6EEFC729-79A1-49DB-92B8-DBB7355A0AAD}" name="Nome Cane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A1ED99-2458-42EC-BB3E-534606C13591}" name="Tabela24" displayName="Tabela24" ref="A1:F49" totalsRowCount="1">
  <autoFilter ref="A1:F48" xr:uid="{80A1ED99-2458-42EC-BB3E-534606C13591}"/>
  <sortState xmlns:xlrd2="http://schemas.microsoft.com/office/spreadsheetml/2017/richdata2" ref="A2:F48">
    <sortCondition ref="B1:B48"/>
  </sortState>
  <tableColumns count="6">
    <tableColumn id="1" xr3:uid="{A4D3C157-730F-4E18-A1EA-047DF0D18FC6}" name="ID" dataDxfId="58" totalsRowDxfId="0"/>
    <tableColumn id="2" xr3:uid="{D3FC1264-0CC6-4EA2-A2C1-49AED6BA3436}" name="Coroinhas" dataDxfId="57" totalsRowDxfId="56"/>
    <tableColumn id="4" xr3:uid="{297AA8C5-A41E-43CB-8625-50565C19E1C0}" name="data nascimento" dataDxfId="55" totalsRowDxfId="54"/>
    <tableColumn id="3" xr3:uid="{BDE4BCA8-F519-4227-843E-FD0B93CBFCCE}" name="função" dataDxfId="53" totalsRowDxfId="52"/>
    <tableColumn id="5" xr3:uid="{4175C4B7-7B1D-48E3-BEF7-16808EE9CEA9}" name="idade" dataDxfId="51" totalsRowDxfId="50">
      <calculatedColumnFormula>YEAR(TODAY())-YEAR(Tabela24[[#This Row],[data nascimento]])</calculatedColumnFormula>
    </tableColumn>
    <tableColumn id="6" xr3:uid="{D415EB12-164D-4EE4-98FC-0FA4FCBF3B2B}" name="situação" dataDxfId="49" totalsRowDxfId="4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BED2DD-BCCE-4385-AC79-898D115CB3FB}" name="Tabela246" displayName="Tabela246" ref="A1:H51" totalsRowCount="1">
  <autoFilter ref="A1:H50" xr:uid="{20BED2DD-BCCE-4385-AC79-898D115CB3FB}">
    <filterColumn colId="6">
      <customFilters>
        <customFilter operator="notEqual" val=" "/>
      </customFilters>
    </filterColumn>
  </autoFilter>
  <sortState xmlns:xlrd2="http://schemas.microsoft.com/office/spreadsheetml/2017/richdata2" ref="A8:H47">
    <sortCondition ref="G1:G50"/>
  </sortState>
  <tableColumns count="8">
    <tableColumn id="1" xr3:uid="{BFD34CBE-4082-48A7-9B2E-A2490CEF18E8}" name="ID" dataDxfId="36" totalsRowDxfId="35"/>
    <tableColumn id="2" xr3:uid="{D569C0C4-6212-47DA-AB39-D1B19EFE1A77}" name="Coroinhas" dataDxfId="34" totalsRowDxfId="33"/>
    <tableColumn id="4" xr3:uid="{7E2A4B93-2F8F-485C-AF15-D436E5450056}" name="data nascimento" dataDxfId="32" totalsRowDxfId="31"/>
    <tableColumn id="3" xr3:uid="{CF3C1C54-CD6A-4C36-A0E7-3D424F2FD216}" name="função" dataDxfId="30" totalsRowDxfId="29"/>
    <tableColumn id="5" xr3:uid="{650F0145-7ADD-45BA-B503-6FAE1ACD58E4}" name="idade" dataDxfId="28" totalsRowDxfId="27">
      <calculatedColumnFormula>YEAR(TODAY())-YEAR(Tabela246[[#This Row],[data nascimento]])</calculatedColumnFormula>
    </tableColumn>
    <tableColumn id="6" xr3:uid="{E0CC5DEC-F650-4A9E-97ED-E514EFC7D589}" name="situação" dataDxfId="26" totalsRowDxfId="25"/>
    <tableColumn id="7" xr3:uid="{43A0BF15-8C8B-4DA8-ACFE-19818D3F140F}" name="tamanho" dataDxfId="24" totalsRowDxfId="23"/>
    <tableColumn id="8" xr3:uid="{031F8219-C900-4C1A-9DC6-E34554155272}" name="pago " dataDxfId="22" totalsRowDxfId="2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991A9F-48FC-42D1-9617-D2AF8AC557FD}" name="Tabela245" displayName="Tabela245" ref="A1:J51" totalsRowCount="1">
  <autoFilter ref="A1:J50" xr:uid="{59991A9F-48FC-42D1-9617-D2AF8AC557FD}">
    <filterColumn colId="6">
      <customFilters>
        <customFilter operator="notEqual" val=" "/>
      </customFilters>
    </filterColumn>
  </autoFilter>
  <sortState xmlns:xlrd2="http://schemas.microsoft.com/office/spreadsheetml/2017/richdata2" ref="A2:F50">
    <sortCondition ref="B1:B50"/>
  </sortState>
  <tableColumns count="10">
    <tableColumn id="1" xr3:uid="{B8415630-8D65-4D13-8ED1-0D249768ECAA}" name="ID" dataDxfId="20" totalsRowDxfId="19"/>
    <tableColumn id="2" xr3:uid="{F90A55C9-179F-4D52-8F13-5B9784161E10}" name="Coroinhas" dataDxfId="18" totalsRowDxfId="17"/>
    <tableColumn id="4" xr3:uid="{C29132D0-C3DA-4A06-9A8E-8BBA087E22FB}" name="data nascimento" dataDxfId="16" totalsRowDxfId="15"/>
    <tableColumn id="3" xr3:uid="{D05B939B-AFD4-4015-A494-4F002A1C5C04}" name="função" dataDxfId="14" totalsRowDxfId="13"/>
    <tableColumn id="5" xr3:uid="{EB6BA939-A9C6-40B6-ABCB-28963578C9D0}" name="idade" dataDxfId="12" totalsRowDxfId="11">
      <calculatedColumnFormula>YEAR(TODAY())-YEAR(Tabela245[[#This Row],[data nascimento]])</calculatedColumnFormula>
    </tableColumn>
    <tableColumn id="6" xr3:uid="{6DFE84BD-42B7-400D-9754-63A102C10D44}" name="situação" dataDxfId="10" totalsRowDxfId="9"/>
    <tableColumn id="7" xr3:uid="{EBE4D104-C0D4-43EB-82D4-CF2E148C33DA}" name="inscrição " dataDxfId="8" totalsRowDxfId="7"/>
    <tableColumn id="8" xr3:uid="{738D42E1-83E0-4AEE-921E-517CADF128A7}" name="autorização " dataDxfId="6" totalsRowDxfId="5"/>
    <tableColumn id="9" xr3:uid="{015E43B8-4311-4684-865E-5BEA6C5CE08B}" name="ida " dataDxfId="4" totalsRowDxfId="3"/>
    <tableColumn id="10" xr3:uid="{930EE35B-182E-4243-89E0-91994B571348}" name="volta " dataDxfId="2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A25" workbookViewId="0">
      <selection activeCell="G30" sqref="G30"/>
    </sheetView>
  </sheetViews>
  <sheetFormatPr defaultRowHeight="14.4" x14ac:dyDescent="0.3"/>
  <cols>
    <col min="1" max="5" width="20" bestFit="1" customWidth="1"/>
    <col min="6" max="6" width="25.33203125" customWidth="1"/>
    <col min="7" max="10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4">
        <v>45774.695486111108</v>
      </c>
      <c r="C2" s="4">
        <v>45774.698761574073</v>
      </c>
      <c r="D2" t="s">
        <v>10</v>
      </c>
      <c r="F2" t="s">
        <v>11</v>
      </c>
      <c r="G2" s="3">
        <v>28684</v>
      </c>
      <c r="H2" s="1" t="s">
        <v>12</v>
      </c>
      <c r="I2" t="s">
        <v>13</v>
      </c>
      <c r="J2" t="s">
        <v>14</v>
      </c>
    </row>
    <row r="3" spans="1:10" x14ac:dyDescent="0.3">
      <c r="A3">
        <v>2</v>
      </c>
      <c r="B3" s="4">
        <v>45774.7081944444</v>
      </c>
      <c r="C3" s="4">
        <v>45774.709236111099</v>
      </c>
      <c r="D3" s="2" t="s">
        <v>10</v>
      </c>
      <c r="E3" s="2"/>
      <c r="F3" s="2" t="s">
        <v>15</v>
      </c>
      <c r="G3" s="3">
        <v>29710</v>
      </c>
      <c r="H3" s="5" t="s">
        <v>16</v>
      </c>
      <c r="I3" s="2" t="s">
        <v>17</v>
      </c>
      <c r="J3" s="2" t="s">
        <v>18</v>
      </c>
    </row>
    <row r="4" spans="1:10" x14ac:dyDescent="0.3">
      <c r="A4">
        <v>3</v>
      </c>
      <c r="B4" s="4">
        <v>45774.805486111101</v>
      </c>
      <c r="C4" s="4">
        <v>45774.807141203702</v>
      </c>
      <c r="D4" s="2" t="s">
        <v>10</v>
      </c>
      <c r="E4" s="2"/>
      <c r="F4" s="2" t="s">
        <v>19</v>
      </c>
      <c r="G4" s="3">
        <v>42249</v>
      </c>
      <c r="H4" s="5" t="s">
        <v>20</v>
      </c>
      <c r="I4" s="2" t="s">
        <v>21</v>
      </c>
      <c r="J4" s="2" t="s">
        <v>22</v>
      </c>
    </row>
    <row r="5" spans="1:10" ht="28.8" x14ac:dyDescent="0.3">
      <c r="A5">
        <v>4</v>
      </c>
      <c r="B5" s="4">
        <v>45774.835590277798</v>
      </c>
      <c r="C5" s="4">
        <v>45774.837337962999</v>
      </c>
      <c r="D5" s="2" t="s">
        <v>10</v>
      </c>
      <c r="E5" s="2"/>
      <c r="F5" s="2" t="s">
        <v>23</v>
      </c>
      <c r="G5" s="3">
        <v>42201</v>
      </c>
      <c r="H5" s="5" t="s">
        <v>24</v>
      </c>
      <c r="I5" s="2" t="s">
        <v>25</v>
      </c>
      <c r="J5" s="6" t="s">
        <v>26</v>
      </c>
    </row>
    <row r="6" spans="1:10" x14ac:dyDescent="0.3">
      <c r="A6">
        <v>5</v>
      </c>
      <c r="B6" s="4">
        <v>45774.848009259302</v>
      </c>
      <c r="C6" s="4">
        <v>45774.849062499998</v>
      </c>
      <c r="D6" s="2" t="s">
        <v>10</v>
      </c>
      <c r="E6" s="2"/>
      <c r="F6" s="2" t="s">
        <v>27</v>
      </c>
      <c r="G6" s="3">
        <v>39981</v>
      </c>
      <c r="H6" s="5" t="s">
        <v>28</v>
      </c>
      <c r="I6" s="2" t="s">
        <v>29</v>
      </c>
      <c r="J6" s="2" t="s">
        <v>30</v>
      </c>
    </row>
    <row r="7" spans="1:10" ht="43.2" x14ac:dyDescent="0.3">
      <c r="A7">
        <v>6</v>
      </c>
      <c r="B7" s="4">
        <v>45775.374166666697</v>
      </c>
      <c r="C7" s="4">
        <v>45775.375219907401</v>
      </c>
      <c r="D7" s="2" t="s">
        <v>10</v>
      </c>
      <c r="E7" s="2"/>
      <c r="F7" s="2" t="s">
        <v>31</v>
      </c>
      <c r="G7" s="3">
        <v>41829</v>
      </c>
      <c r="H7" s="5" t="s">
        <v>32</v>
      </c>
      <c r="I7" s="2" t="s">
        <v>33</v>
      </c>
      <c r="J7" s="6" t="s">
        <v>34</v>
      </c>
    </row>
    <row r="8" spans="1:10" ht="57.6" x14ac:dyDescent="0.3">
      <c r="A8">
        <v>8</v>
      </c>
      <c r="B8" s="4">
        <v>45779.779826388898</v>
      </c>
      <c r="C8" s="4">
        <v>45779.782453703701</v>
      </c>
      <c r="D8" s="2" t="s">
        <v>10</v>
      </c>
      <c r="E8" s="2"/>
      <c r="F8" s="2" t="s">
        <v>35</v>
      </c>
      <c r="G8" s="3">
        <v>42485</v>
      </c>
      <c r="H8" s="5" t="s">
        <v>36</v>
      </c>
      <c r="I8" s="2" t="s">
        <v>37</v>
      </c>
      <c r="J8" s="6" t="s">
        <v>38</v>
      </c>
    </row>
    <row r="9" spans="1:10" ht="72" x14ac:dyDescent="0.3">
      <c r="A9">
        <v>9</v>
      </c>
      <c r="B9" s="4">
        <v>45779.880590277797</v>
      </c>
      <c r="C9" s="4">
        <v>45779.884409722203</v>
      </c>
      <c r="D9" s="2" t="s">
        <v>10</v>
      </c>
      <c r="E9" s="2"/>
      <c r="F9" s="2" t="s">
        <v>39</v>
      </c>
      <c r="G9" s="3">
        <v>42234</v>
      </c>
      <c r="H9" s="5" t="s">
        <v>40</v>
      </c>
      <c r="I9" s="6" t="s">
        <v>41</v>
      </c>
      <c r="J9" s="6" t="s">
        <v>42</v>
      </c>
    </row>
    <row r="10" spans="1:10" ht="57.6" x14ac:dyDescent="0.3">
      <c r="A10">
        <v>10</v>
      </c>
      <c r="B10" s="4">
        <v>45780.2821064815</v>
      </c>
      <c r="C10" s="4">
        <v>45780.283761574101</v>
      </c>
      <c r="D10" s="2" t="s">
        <v>10</v>
      </c>
      <c r="E10" s="2"/>
      <c r="F10" s="2" t="s">
        <v>43</v>
      </c>
      <c r="G10" s="3">
        <v>42475</v>
      </c>
      <c r="H10" s="5" t="s">
        <v>44</v>
      </c>
      <c r="I10" s="6" t="s">
        <v>45</v>
      </c>
      <c r="J10" s="6" t="s">
        <v>46</v>
      </c>
    </row>
    <row r="11" spans="1:10" x14ac:dyDescent="0.3">
      <c r="A11">
        <v>11</v>
      </c>
      <c r="B11" s="4">
        <v>45780.538379629601</v>
      </c>
      <c r="C11" s="4">
        <v>45780.5399189815</v>
      </c>
      <c r="D11" s="2" t="s">
        <v>10</v>
      </c>
      <c r="E11" s="2"/>
      <c r="F11" s="2" t="s">
        <v>47</v>
      </c>
      <c r="G11" s="3">
        <v>42155</v>
      </c>
      <c r="H11" s="5" t="s">
        <v>48</v>
      </c>
      <c r="I11" s="6" t="s">
        <v>49</v>
      </c>
      <c r="J11" s="6" t="s">
        <v>50</v>
      </c>
    </row>
    <row r="12" spans="1:10" ht="43.2" x14ac:dyDescent="0.3">
      <c r="A12">
        <v>12</v>
      </c>
      <c r="B12" s="4">
        <v>45785.558391203696</v>
      </c>
      <c r="C12" s="4">
        <v>45785.560266203698</v>
      </c>
      <c r="D12" s="2" t="s">
        <v>10</v>
      </c>
      <c r="E12" s="2"/>
      <c r="F12" s="2" t="s">
        <v>51</v>
      </c>
      <c r="G12" s="3">
        <v>40740</v>
      </c>
      <c r="H12" s="5" t="s">
        <v>52</v>
      </c>
      <c r="I12" s="6" t="s">
        <v>53</v>
      </c>
      <c r="J12" s="6" t="s">
        <v>54</v>
      </c>
    </row>
    <row r="13" spans="1:10" ht="43.2" x14ac:dyDescent="0.3">
      <c r="A13">
        <v>13</v>
      </c>
      <c r="B13" s="4">
        <v>45786.889305555596</v>
      </c>
      <c r="C13" s="4">
        <v>45786.892268518503</v>
      </c>
      <c r="D13" s="2" t="s">
        <v>10</v>
      </c>
      <c r="E13" s="2"/>
      <c r="F13" s="2" t="s">
        <v>55</v>
      </c>
      <c r="G13" s="3">
        <v>40620</v>
      </c>
      <c r="H13" s="5" t="s">
        <v>56</v>
      </c>
      <c r="I13" s="6" t="s">
        <v>57</v>
      </c>
      <c r="J13" s="6" t="s">
        <v>58</v>
      </c>
    </row>
    <row r="14" spans="1:10" ht="57.6" x14ac:dyDescent="0.3">
      <c r="A14">
        <v>14</v>
      </c>
      <c r="B14" s="4">
        <v>45789.523425925901</v>
      </c>
      <c r="C14" s="4">
        <v>45789.525763888902</v>
      </c>
      <c r="D14" s="2" t="s">
        <v>10</v>
      </c>
      <c r="E14" s="2"/>
      <c r="F14" s="2" t="s">
        <v>59</v>
      </c>
      <c r="G14" s="3">
        <v>42080</v>
      </c>
      <c r="H14" s="5" t="s">
        <v>60</v>
      </c>
      <c r="I14" s="6" t="s">
        <v>61</v>
      </c>
      <c r="J14" s="6" t="s">
        <v>62</v>
      </c>
    </row>
    <row r="15" spans="1:10" ht="57.6" x14ac:dyDescent="0.3">
      <c r="A15">
        <v>15</v>
      </c>
      <c r="B15" s="4">
        <v>45789.530231481498</v>
      </c>
      <c r="C15" s="4">
        <v>45789.530729166698</v>
      </c>
      <c r="D15" s="2" t="s">
        <v>10</v>
      </c>
      <c r="E15" s="2"/>
      <c r="F15" s="2" t="s">
        <v>63</v>
      </c>
      <c r="G15" s="3">
        <v>42242</v>
      </c>
      <c r="H15" s="5" t="s">
        <v>64</v>
      </c>
      <c r="I15" s="6" t="s">
        <v>65</v>
      </c>
      <c r="J15" s="6" t="s">
        <v>66</v>
      </c>
    </row>
    <row r="16" spans="1:10" ht="72" x14ac:dyDescent="0.3">
      <c r="A16">
        <v>16</v>
      </c>
      <c r="B16" s="4">
        <v>45789.604328703703</v>
      </c>
      <c r="C16" s="4">
        <v>45789.606099536999</v>
      </c>
      <c r="D16" s="2" t="s">
        <v>10</v>
      </c>
      <c r="E16" s="2"/>
      <c r="F16" s="2" t="s">
        <v>67</v>
      </c>
      <c r="G16" s="3">
        <v>40739</v>
      </c>
      <c r="H16" s="5" t="s">
        <v>68</v>
      </c>
      <c r="I16" s="6" t="s">
        <v>69</v>
      </c>
      <c r="J16" s="6" t="s">
        <v>70</v>
      </c>
    </row>
    <row r="17" spans="1:10" ht="43.2" x14ac:dyDescent="0.3">
      <c r="A17">
        <v>18</v>
      </c>
      <c r="B17" s="4">
        <v>45789.7512152778</v>
      </c>
      <c r="C17" s="4">
        <v>45789.753483796303</v>
      </c>
      <c r="D17" s="2" t="s">
        <v>10</v>
      </c>
      <c r="E17" s="2"/>
      <c r="F17" s="2" t="s">
        <v>71</v>
      </c>
      <c r="G17" s="3">
        <v>39492</v>
      </c>
      <c r="H17" s="5" t="s">
        <v>72</v>
      </c>
      <c r="I17" s="6" t="s">
        <v>73</v>
      </c>
      <c r="J17" s="6" t="s">
        <v>74</v>
      </c>
    </row>
    <row r="18" spans="1:10" ht="43.2" x14ac:dyDescent="0.3">
      <c r="A18">
        <v>19</v>
      </c>
      <c r="B18" s="4">
        <v>45795.532291666699</v>
      </c>
      <c r="C18" s="4">
        <v>45795.533344907402</v>
      </c>
      <c r="D18" s="2" t="s">
        <v>10</v>
      </c>
      <c r="E18" s="2"/>
      <c r="F18" s="2" t="s">
        <v>75</v>
      </c>
      <c r="G18" s="3">
        <v>42532</v>
      </c>
      <c r="H18" s="5" t="s">
        <v>76</v>
      </c>
      <c r="I18" s="6" t="s">
        <v>77</v>
      </c>
      <c r="J18" s="6" t="s">
        <v>78</v>
      </c>
    </row>
    <row r="19" spans="1:10" ht="43.2" x14ac:dyDescent="0.3">
      <c r="A19">
        <v>20</v>
      </c>
      <c r="B19" s="4">
        <v>45799.7969212963</v>
      </c>
      <c r="C19" s="4">
        <v>45799.802245370403</v>
      </c>
      <c r="D19" s="2" t="s">
        <v>10</v>
      </c>
      <c r="E19" s="2"/>
      <c r="F19" s="2" t="s">
        <v>79</v>
      </c>
      <c r="G19" s="3">
        <v>41710</v>
      </c>
      <c r="H19" s="5" t="s">
        <v>80</v>
      </c>
      <c r="I19" s="6" t="s">
        <v>81</v>
      </c>
      <c r="J19" s="6" t="s">
        <v>82</v>
      </c>
    </row>
    <row r="20" spans="1:10" ht="28.8" x14ac:dyDescent="0.3">
      <c r="A20">
        <v>21</v>
      </c>
      <c r="B20" s="4">
        <v>45801.335995370398</v>
      </c>
      <c r="C20" s="4">
        <v>45801.337673611102</v>
      </c>
      <c r="D20" s="2" t="s">
        <v>10</v>
      </c>
      <c r="E20" s="2"/>
      <c r="F20" s="2" t="s">
        <v>83</v>
      </c>
      <c r="G20" s="3">
        <v>43006</v>
      </c>
      <c r="H20" s="5" t="s">
        <v>84</v>
      </c>
      <c r="I20" s="6" t="s">
        <v>85</v>
      </c>
      <c r="J20" s="6" t="s">
        <v>86</v>
      </c>
    </row>
    <row r="21" spans="1:10" ht="28.8" x14ac:dyDescent="0.3">
      <c r="A21">
        <v>22</v>
      </c>
      <c r="B21" s="4">
        <v>45801.337777777801</v>
      </c>
      <c r="C21" s="4">
        <v>45801.339097222197</v>
      </c>
      <c r="D21" s="2" t="s">
        <v>10</v>
      </c>
      <c r="E21" s="2"/>
      <c r="F21" s="2" t="s">
        <v>87</v>
      </c>
      <c r="G21" s="3">
        <v>42155</v>
      </c>
      <c r="H21" s="5" t="s">
        <v>88</v>
      </c>
      <c r="I21" s="6" t="s">
        <v>89</v>
      </c>
      <c r="J21" s="6" t="s">
        <v>90</v>
      </c>
    </row>
    <row r="22" spans="1:10" ht="28.8" x14ac:dyDescent="0.3">
      <c r="A22">
        <v>23</v>
      </c>
      <c r="B22" s="4">
        <v>45801.637627314798</v>
      </c>
      <c r="C22" s="4">
        <v>45801.638854166697</v>
      </c>
      <c r="D22" s="2" t="s">
        <v>10</v>
      </c>
      <c r="E22" s="2"/>
      <c r="F22" s="2" t="s">
        <v>91</v>
      </c>
      <c r="G22" s="3">
        <v>42737</v>
      </c>
      <c r="H22" s="5" t="s">
        <v>92</v>
      </c>
      <c r="I22" s="6" t="s">
        <v>93</v>
      </c>
      <c r="J22" s="6" t="s">
        <v>94</v>
      </c>
    </row>
    <row r="23" spans="1:10" ht="43.2" x14ac:dyDescent="0.3">
      <c r="A23">
        <v>24</v>
      </c>
      <c r="B23" s="4">
        <v>45802.671550925901</v>
      </c>
      <c r="C23" s="4">
        <v>45802.672650462999</v>
      </c>
      <c r="D23" s="2" t="s">
        <v>10</v>
      </c>
      <c r="E23" s="2"/>
      <c r="F23" s="2" t="s">
        <v>95</v>
      </c>
      <c r="G23" s="3">
        <v>40783</v>
      </c>
      <c r="H23" s="5" t="s">
        <v>96</v>
      </c>
      <c r="I23" s="6" t="s">
        <v>97</v>
      </c>
      <c r="J23" s="6" t="s">
        <v>98</v>
      </c>
    </row>
    <row r="24" spans="1:10" ht="57.6" x14ac:dyDescent="0.3">
      <c r="A24">
        <v>25</v>
      </c>
      <c r="B24" s="4">
        <v>45802.852511574099</v>
      </c>
      <c r="C24" s="4">
        <v>45802.854236111103</v>
      </c>
      <c r="D24" s="2" t="s">
        <v>10</v>
      </c>
      <c r="E24" s="2"/>
      <c r="F24" s="2" t="s">
        <v>99</v>
      </c>
      <c r="G24" s="3">
        <v>41289</v>
      </c>
      <c r="H24" s="5" t="s">
        <v>100</v>
      </c>
      <c r="I24" s="6" t="s">
        <v>101</v>
      </c>
      <c r="J24" s="6" t="s">
        <v>102</v>
      </c>
    </row>
    <row r="25" spans="1:10" ht="28.8" x14ac:dyDescent="0.3">
      <c r="A25">
        <v>26</v>
      </c>
      <c r="B25" s="4">
        <v>45802.944513888899</v>
      </c>
      <c r="C25" s="4">
        <v>45802.945960648103</v>
      </c>
      <c r="D25" s="2" t="s">
        <v>10</v>
      </c>
      <c r="E25" s="2"/>
      <c r="F25" s="2" t="s">
        <v>103</v>
      </c>
      <c r="G25" s="3">
        <v>45703</v>
      </c>
      <c r="H25" s="5" t="s">
        <v>104</v>
      </c>
      <c r="I25" s="6" t="s">
        <v>105</v>
      </c>
      <c r="J25" s="6" t="s">
        <v>106</v>
      </c>
    </row>
    <row r="26" spans="1:10" ht="43.2" x14ac:dyDescent="0.3">
      <c r="A26">
        <v>27</v>
      </c>
      <c r="B26" s="4">
        <v>45803.686157407399</v>
      </c>
      <c r="C26" s="4">
        <v>45803.688032407401</v>
      </c>
      <c r="D26" s="2" t="s">
        <v>10</v>
      </c>
      <c r="E26" s="2"/>
      <c r="F26" s="2" t="s">
        <v>107</v>
      </c>
      <c r="G26" s="3">
        <v>42347</v>
      </c>
      <c r="H26" s="5" t="s">
        <v>108</v>
      </c>
      <c r="I26" s="6" t="s">
        <v>109</v>
      </c>
      <c r="J26" s="6" t="s">
        <v>110</v>
      </c>
    </row>
    <row r="27" spans="1:10" ht="28.8" x14ac:dyDescent="0.3">
      <c r="A27">
        <v>28</v>
      </c>
      <c r="B27" s="4">
        <v>45806.568483796298</v>
      </c>
      <c r="C27" s="4">
        <v>45806.569432870398</v>
      </c>
      <c r="D27" s="2" t="s">
        <v>10</v>
      </c>
      <c r="E27" s="2"/>
      <c r="F27" s="2" t="s">
        <v>111</v>
      </c>
      <c r="G27" s="3">
        <v>41611</v>
      </c>
      <c r="H27" s="5" t="s">
        <v>112</v>
      </c>
      <c r="I27" s="6" t="s">
        <v>113</v>
      </c>
      <c r="J27" s="6" t="s">
        <v>114</v>
      </c>
    </row>
    <row r="28" spans="1:10" ht="43.2" x14ac:dyDescent="0.3">
      <c r="A28">
        <v>29</v>
      </c>
      <c r="B28" s="4">
        <v>45806.790821759299</v>
      </c>
      <c r="C28" s="4">
        <v>45806.8116435185</v>
      </c>
      <c r="D28" s="2" t="s">
        <v>10</v>
      </c>
      <c r="E28" s="2"/>
      <c r="F28" s="2" t="s">
        <v>115</v>
      </c>
      <c r="G28" s="3">
        <v>41647</v>
      </c>
      <c r="H28" s="5" t="s">
        <v>116</v>
      </c>
      <c r="I28" s="6" t="s">
        <v>117</v>
      </c>
      <c r="J28" s="6" t="s">
        <v>118</v>
      </c>
    </row>
    <row r="29" spans="1:10" ht="43.2" x14ac:dyDescent="0.3">
      <c r="A29">
        <v>30</v>
      </c>
      <c r="B29" s="4">
        <v>45806.8757638889</v>
      </c>
      <c r="C29" s="4">
        <v>45806.876550925903</v>
      </c>
      <c r="D29" s="2" t="s">
        <v>10</v>
      </c>
      <c r="E29" s="2"/>
      <c r="F29" s="2" t="s">
        <v>119</v>
      </c>
      <c r="G29" s="3">
        <v>43394</v>
      </c>
      <c r="H29" s="5" t="s">
        <v>120</v>
      </c>
      <c r="I29" s="6" t="s">
        <v>121</v>
      </c>
      <c r="J29" s="6" t="s">
        <v>122</v>
      </c>
    </row>
    <row r="30" spans="1:10" ht="86.4" x14ac:dyDescent="0.3">
      <c r="A30">
        <v>31</v>
      </c>
      <c r="B30" s="4">
        <v>45807.580590277801</v>
      </c>
      <c r="C30" s="4">
        <v>45807.581388888902</v>
      </c>
      <c r="D30" s="2" t="s">
        <v>10</v>
      </c>
      <c r="E30" s="2"/>
      <c r="F30" s="2" t="s">
        <v>123</v>
      </c>
      <c r="G30" s="3">
        <v>41778</v>
      </c>
      <c r="H30" s="5" t="s">
        <v>124</v>
      </c>
      <c r="I30" s="6" t="s">
        <v>125</v>
      </c>
      <c r="J30" s="6" t="s">
        <v>126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C4E-A25C-412D-ACE4-FD8285F00543}">
  <dimension ref="B1:M61"/>
  <sheetViews>
    <sheetView workbookViewId="0">
      <selection activeCell="G1" sqref="G1:J1048576"/>
    </sheetView>
  </sheetViews>
  <sheetFormatPr defaultRowHeight="14.4" x14ac:dyDescent="0.3"/>
  <cols>
    <col min="2" max="2" width="36.5546875" bestFit="1" customWidth="1"/>
    <col min="4" max="4" width="9.5546875" bestFit="1" customWidth="1"/>
    <col min="8" max="8" width="34.109375" bestFit="1" customWidth="1"/>
    <col min="9" max="10" width="15.44140625" bestFit="1" customWidth="1"/>
    <col min="12" max="13" width="16.109375" bestFit="1" customWidth="1"/>
  </cols>
  <sheetData>
    <row r="1" spans="2:13" x14ac:dyDescent="0.3">
      <c r="B1" s="7" t="s">
        <v>5</v>
      </c>
      <c r="G1" t="s">
        <v>127</v>
      </c>
      <c r="H1" t="s">
        <v>128</v>
      </c>
      <c r="I1" t="s">
        <v>129</v>
      </c>
      <c r="J1" t="s">
        <v>130</v>
      </c>
      <c r="M1" t="s">
        <v>131</v>
      </c>
    </row>
    <row r="2" spans="2:13" x14ac:dyDescent="0.3">
      <c r="B2" s="8" t="s">
        <v>71</v>
      </c>
      <c r="G2">
        <v>1</v>
      </c>
      <c r="H2" s="10" t="s">
        <v>132</v>
      </c>
      <c r="I2" s="10">
        <v>50</v>
      </c>
      <c r="J2" t="s">
        <v>132</v>
      </c>
      <c r="M2" s="10" t="s">
        <v>133</v>
      </c>
    </row>
    <row r="3" spans="2:13" x14ac:dyDescent="0.3">
      <c r="B3" s="9" t="s">
        <v>99</v>
      </c>
      <c r="G3">
        <v>2</v>
      </c>
      <c r="H3" t="s">
        <v>134</v>
      </c>
      <c r="J3" t="s">
        <v>135</v>
      </c>
      <c r="M3" s="10" t="s">
        <v>136</v>
      </c>
    </row>
    <row r="4" spans="2:13" x14ac:dyDescent="0.3">
      <c r="B4" s="8" t="s">
        <v>111</v>
      </c>
      <c r="G4">
        <v>3</v>
      </c>
      <c r="H4" s="10" t="s">
        <v>137</v>
      </c>
      <c r="I4" s="10">
        <v>50</v>
      </c>
      <c r="J4" t="s">
        <v>138</v>
      </c>
      <c r="M4" s="10" t="s">
        <v>139</v>
      </c>
    </row>
    <row r="5" spans="2:13" x14ac:dyDescent="0.3">
      <c r="B5" s="9" t="s">
        <v>123</v>
      </c>
      <c r="G5">
        <v>4</v>
      </c>
      <c r="H5" t="s">
        <v>140</v>
      </c>
      <c r="M5" s="10" t="s">
        <v>141</v>
      </c>
    </row>
    <row r="6" spans="2:13" x14ac:dyDescent="0.3">
      <c r="B6" s="9" t="s">
        <v>19</v>
      </c>
      <c r="G6">
        <v>5</v>
      </c>
      <c r="H6" t="s">
        <v>142</v>
      </c>
    </row>
    <row r="7" spans="2:13" x14ac:dyDescent="0.3">
      <c r="B7" s="9" t="s">
        <v>27</v>
      </c>
      <c r="G7">
        <v>6</v>
      </c>
      <c r="H7" s="10" t="s">
        <v>143</v>
      </c>
      <c r="I7" s="10">
        <v>20</v>
      </c>
      <c r="J7" t="s">
        <v>144</v>
      </c>
    </row>
    <row r="8" spans="2:13" x14ac:dyDescent="0.3">
      <c r="B8" s="9" t="s">
        <v>55</v>
      </c>
      <c r="G8">
        <v>7</v>
      </c>
      <c r="H8" s="11" t="s">
        <v>145</v>
      </c>
      <c r="I8" s="11"/>
    </row>
    <row r="9" spans="2:13" x14ac:dyDescent="0.3">
      <c r="B9" s="9" t="s">
        <v>63</v>
      </c>
      <c r="G9">
        <v>8</v>
      </c>
      <c r="H9" s="10" t="s">
        <v>99</v>
      </c>
      <c r="I9" s="10">
        <v>35</v>
      </c>
      <c r="J9" t="s">
        <v>146</v>
      </c>
    </row>
    <row r="10" spans="2:13" x14ac:dyDescent="0.3">
      <c r="B10" s="8" t="s">
        <v>103</v>
      </c>
      <c r="G10">
        <v>9</v>
      </c>
      <c r="H10" s="10" t="s">
        <v>147</v>
      </c>
      <c r="I10" s="10">
        <v>50</v>
      </c>
      <c r="J10" t="s">
        <v>148</v>
      </c>
    </row>
    <row r="11" spans="2:13" x14ac:dyDescent="0.3">
      <c r="B11" s="9" t="s">
        <v>115</v>
      </c>
      <c r="G11">
        <v>10</v>
      </c>
      <c r="H11" s="10" t="s">
        <v>149</v>
      </c>
      <c r="I11" s="10">
        <v>50</v>
      </c>
      <c r="J11" t="s">
        <v>150</v>
      </c>
    </row>
    <row r="12" spans="2:13" x14ac:dyDescent="0.3">
      <c r="B12" s="8" t="s">
        <v>67</v>
      </c>
      <c r="G12">
        <v>11</v>
      </c>
      <c r="H12" s="10" t="s">
        <v>151</v>
      </c>
      <c r="I12" s="10">
        <v>35</v>
      </c>
      <c r="J12" t="s">
        <v>151</v>
      </c>
    </row>
    <row r="13" spans="2:13" x14ac:dyDescent="0.3">
      <c r="B13" s="8" t="s">
        <v>87</v>
      </c>
      <c r="G13">
        <v>12</v>
      </c>
      <c r="H13" s="10" t="s">
        <v>152</v>
      </c>
      <c r="I13" s="10">
        <v>20</v>
      </c>
      <c r="J13" t="s">
        <v>152</v>
      </c>
    </row>
    <row r="14" spans="2:13" x14ac:dyDescent="0.3">
      <c r="B14" s="9" t="s">
        <v>47</v>
      </c>
      <c r="G14">
        <v>13</v>
      </c>
      <c r="H14" s="10" t="s">
        <v>123</v>
      </c>
      <c r="I14" s="10">
        <v>50</v>
      </c>
      <c r="J14" t="s">
        <v>153</v>
      </c>
    </row>
    <row r="15" spans="2:13" x14ac:dyDescent="0.3">
      <c r="B15" s="8" t="s">
        <v>43</v>
      </c>
      <c r="G15">
        <v>14</v>
      </c>
      <c r="H15" s="10" t="s">
        <v>154</v>
      </c>
      <c r="I15" s="10">
        <v>50</v>
      </c>
      <c r="J15" t="s">
        <v>155</v>
      </c>
    </row>
    <row r="16" spans="2:13" x14ac:dyDescent="0.3">
      <c r="B16" s="8" t="s">
        <v>35</v>
      </c>
      <c r="G16">
        <v>15</v>
      </c>
      <c r="H16" s="10" t="s">
        <v>19</v>
      </c>
      <c r="I16" s="10">
        <v>50</v>
      </c>
      <c r="J16" t="s">
        <v>156</v>
      </c>
    </row>
    <row r="17" spans="2:10" x14ac:dyDescent="0.3">
      <c r="B17" s="9" t="s">
        <v>107</v>
      </c>
      <c r="G17">
        <v>16</v>
      </c>
      <c r="H17" t="s">
        <v>27</v>
      </c>
    </row>
    <row r="18" spans="2:10" x14ac:dyDescent="0.3">
      <c r="B18" s="8" t="s">
        <v>59</v>
      </c>
      <c r="G18">
        <v>17</v>
      </c>
      <c r="H18" s="10" t="s">
        <v>55</v>
      </c>
      <c r="I18" s="10">
        <v>50</v>
      </c>
      <c r="J18" t="s">
        <v>157</v>
      </c>
    </row>
    <row r="19" spans="2:10" x14ac:dyDescent="0.3">
      <c r="B19" s="8" t="s">
        <v>79</v>
      </c>
      <c r="G19">
        <v>18</v>
      </c>
      <c r="H19" s="10" t="s">
        <v>158</v>
      </c>
      <c r="I19" s="10">
        <v>35</v>
      </c>
      <c r="J19" t="s">
        <v>158</v>
      </c>
    </row>
    <row r="20" spans="2:10" x14ac:dyDescent="0.3">
      <c r="B20" s="9" t="s">
        <v>39</v>
      </c>
      <c r="G20">
        <v>19</v>
      </c>
      <c r="H20" s="10" t="s">
        <v>159</v>
      </c>
      <c r="I20" s="10">
        <v>50</v>
      </c>
      <c r="J20" t="s">
        <v>159</v>
      </c>
    </row>
    <row r="21" spans="2:10" x14ac:dyDescent="0.3">
      <c r="B21" s="8" t="s">
        <v>23</v>
      </c>
      <c r="G21">
        <v>20</v>
      </c>
      <c r="H21" t="s">
        <v>160</v>
      </c>
    </row>
    <row r="22" spans="2:10" x14ac:dyDescent="0.3">
      <c r="B22" s="9" t="s">
        <v>91</v>
      </c>
      <c r="G22">
        <v>21</v>
      </c>
      <c r="H22" s="10" t="s">
        <v>161</v>
      </c>
      <c r="I22" s="10">
        <v>50</v>
      </c>
      <c r="J22" t="s">
        <v>162</v>
      </c>
    </row>
    <row r="23" spans="2:10" x14ac:dyDescent="0.3">
      <c r="B23" s="9" t="s">
        <v>83</v>
      </c>
      <c r="G23">
        <v>22</v>
      </c>
      <c r="H23" t="s">
        <v>163</v>
      </c>
    </row>
    <row r="24" spans="2:10" x14ac:dyDescent="0.3">
      <c r="B24" s="8" t="s">
        <v>95</v>
      </c>
      <c r="G24">
        <v>23</v>
      </c>
      <c r="H24" s="10" t="s">
        <v>164</v>
      </c>
      <c r="I24" s="10">
        <v>20</v>
      </c>
      <c r="J24" t="s">
        <v>165</v>
      </c>
    </row>
    <row r="25" spans="2:10" x14ac:dyDescent="0.3">
      <c r="B25" s="9" t="s">
        <v>75</v>
      </c>
      <c r="G25">
        <v>24</v>
      </c>
      <c r="H25" s="10" t="s">
        <v>166</v>
      </c>
      <c r="I25" s="10">
        <v>35</v>
      </c>
      <c r="J25" t="s">
        <v>167</v>
      </c>
    </row>
    <row r="26" spans="2:10" x14ac:dyDescent="0.3">
      <c r="B26" s="8" t="s">
        <v>31</v>
      </c>
      <c r="G26">
        <v>25</v>
      </c>
      <c r="H26" s="10" t="s">
        <v>168</v>
      </c>
      <c r="I26" s="10">
        <v>35</v>
      </c>
      <c r="J26" t="s">
        <v>169</v>
      </c>
    </row>
    <row r="27" spans="2:10" x14ac:dyDescent="0.3">
      <c r="B27" s="8" t="s">
        <v>119</v>
      </c>
      <c r="G27">
        <v>26</v>
      </c>
      <c r="H27" s="11" t="s">
        <v>170</v>
      </c>
      <c r="I27" s="11"/>
    </row>
    <row r="28" spans="2:10" x14ac:dyDescent="0.3">
      <c r="G28">
        <v>27</v>
      </c>
      <c r="H28" s="10" t="s">
        <v>171</v>
      </c>
      <c r="I28" s="10">
        <v>50</v>
      </c>
      <c r="J28" t="s">
        <v>172</v>
      </c>
    </row>
    <row r="29" spans="2:10" x14ac:dyDescent="0.3">
      <c r="G29">
        <v>28</v>
      </c>
      <c r="H29" s="10" t="s">
        <v>173</v>
      </c>
      <c r="I29" s="10">
        <v>50</v>
      </c>
      <c r="J29" t="s">
        <v>174</v>
      </c>
    </row>
    <row r="30" spans="2:10" x14ac:dyDescent="0.3">
      <c r="G30">
        <v>29</v>
      </c>
      <c r="H30" t="s">
        <v>115</v>
      </c>
    </row>
    <row r="31" spans="2:10" x14ac:dyDescent="0.3">
      <c r="G31">
        <v>30</v>
      </c>
      <c r="H31" t="s">
        <v>87</v>
      </c>
    </row>
    <row r="32" spans="2:10" x14ac:dyDescent="0.3">
      <c r="G32">
        <v>31</v>
      </c>
      <c r="H32" s="10" t="s">
        <v>175</v>
      </c>
      <c r="I32" s="10">
        <v>50</v>
      </c>
      <c r="J32" t="s">
        <v>176</v>
      </c>
    </row>
    <row r="33" spans="7:10" x14ac:dyDescent="0.3">
      <c r="G33">
        <v>32</v>
      </c>
      <c r="H33" s="10" t="s">
        <v>177</v>
      </c>
      <c r="I33" s="10">
        <v>50</v>
      </c>
      <c r="J33" t="s">
        <v>177</v>
      </c>
    </row>
    <row r="34" spans="7:10" x14ac:dyDescent="0.3">
      <c r="G34">
        <v>33</v>
      </c>
      <c r="H34" t="s">
        <v>43</v>
      </c>
    </row>
    <row r="35" spans="7:10" x14ac:dyDescent="0.3">
      <c r="G35">
        <v>34</v>
      </c>
      <c r="H35" s="10" t="s">
        <v>35</v>
      </c>
      <c r="I35" s="10">
        <v>50</v>
      </c>
      <c r="J35" t="s">
        <v>178</v>
      </c>
    </row>
    <row r="36" spans="7:10" x14ac:dyDescent="0.3">
      <c r="G36">
        <v>35</v>
      </c>
      <c r="H36" t="s">
        <v>179</v>
      </c>
    </row>
    <row r="37" spans="7:10" x14ac:dyDescent="0.3">
      <c r="G37">
        <v>36</v>
      </c>
      <c r="H37" s="10" t="s">
        <v>180</v>
      </c>
      <c r="I37" s="10">
        <v>50</v>
      </c>
      <c r="J37" t="s">
        <v>181</v>
      </c>
    </row>
    <row r="38" spans="7:10" x14ac:dyDescent="0.3">
      <c r="G38">
        <v>37</v>
      </c>
      <c r="H38" s="10" t="s">
        <v>79</v>
      </c>
      <c r="I38" s="10">
        <v>50</v>
      </c>
      <c r="J38" t="s">
        <v>182</v>
      </c>
    </row>
    <row r="39" spans="7:10" x14ac:dyDescent="0.3">
      <c r="G39">
        <v>38</v>
      </c>
      <c r="H39" t="s">
        <v>183</v>
      </c>
    </row>
    <row r="40" spans="7:10" x14ac:dyDescent="0.3">
      <c r="G40">
        <v>39</v>
      </c>
      <c r="H40" s="10" t="s">
        <v>23</v>
      </c>
      <c r="I40" s="10">
        <v>50</v>
      </c>
      <c r="J40" t="s">
        <v>184</v>
      </c>
    </row>
    <row r="41" spans="7:10" x14ac:dyDescent="0.3">
      <c r="G41">
        <v>40</v>
      </c>
      <c r="H41" t="s">
        <v>185</v>
      </c>
    </row>
    <row r="42" spans="7:10" x14ac:dyDescent="0.3">
      <c r="G42">
        <v>41</v>
      </c>
      <c r="H42" s="10" t="s">
        <v>186</v>
      </c>
      <c r="I42" s="10">
        <v>50</v>
      </c>
      <c r="J42" t="s">
        <v>187</v>
      </c>
    </row>
    <row r="43" spans="7:10" x14ac:dyDescent="0.3">
      <c r="G43">
        <v>42</v>
      </c>
      <c r="H43" s="11" t="s">
        <v>188</v>
      </c>
      <c r="I43" s="11"/>
    </row>
    <row r="44" spans="7:10" x14ac:dyDescent="0.3">
      <c r="G44">
        <v>43</v>
      </c>
      <c r="H44" t="s">
        <v>83</v>
      </c>
    </row>
    <row r="45" spans="7:10" x14ac:dyDescent="0.3">
      <c r="G45">
        <v>44</v>
      </c>
      <c r="H45" s="10" t="s">
        <v>95</v>
      </c>
      <c r="I45" s="10">
        <v>35</v>
      </c>
      <c r="J45" t="s">
        <v>189</v>
      </c>
    </row>
    <row r="46" spans="7:10" x14ac:dyDescent="0.3">
      <c r="G46">
        <v>45</v>
      </c>
      <c r="H46" s="10" t="s">
        <v>190</v>
      </c>
      <c r="I46" s="10">
        <v>50</v>
      </c>
      <c r="J46" t="s">
        <v>191</v>
      </c>
    </row>
    <row r="47" spans="7:10" x14ac:dyDescent="0.3">
      <c r="G47">
        <v>46</v>
      </c>
      <c r="H47" t="s">
        <v>75</v>
      </c>
    </row>
    <row r="48" spans="7:10" x14ac:dyDescent="0.3">
      <c r="G48">
        <v>47</v>
      </c>
      <c r="H48" s="10" t="s">
        <v>192</v>
      </c>
      <c r="I48" s="10">
        <v>50</v>
      </c>
      <c r="J48" t="s">
        <v>193</v>
      </c>
    </row>
    <row r="49" spans="7:10" x14ac:dyDescent="0.3">
      <c r="G49">
        <v>48</v>
      </c>
      <c r="H49" s="11" t="s">
        <v>194</v>
      </c>
      <c r="I49" s="11"/>
    </row>
    <row r="50" spans="7:10" x14ac:dyDescent="0.3">
      <c r="G50">
        <v>49</v>
      </c>
      <c r="H50" s="10" t="s">
        <v>195</v>
      </c>
      <c r="I50" s="10">
        <v>50</v>
      </c>
      <c r="J50" t="s">
        <v>196</v>
      </c>
    </row>
    <row r="51" spans="7:10" x14ac:dyDescent="0.3">
      <c r="H51" s="10"/>
      <c r="I51" s="10">
        <f>SUM(I2:I50)</f>
        <v>1370</v>
      </c>
    </row>
    <row r="54" spans="7:10" x14ac:dyDescent="0.3">
      <c r="H54" t="s">
        <v>197</v>
      </c>
      <c r="I54">
        <f>153.2</f>
        <v>153.19999999999999</v>
      </c>
    </row>
    <row r="55" spans="7:10" x14ac:dyDescent="0.3">
      <c r="H55" t="s">
        <v>198</v>
      </c>
      <c r="I55">
        <v>459.6</v>
      </c>
    </row>
    <row r="57" spans="7:10" x14ac:dyDescent="0.3">
      <c r="I57">
        <f>SUM(I54:I56)</f>
        <v>612.79999999999995</v>
      </c>
    </row>
    <row r="58" spans="7:10" x14ac:dyDescent="0.3">
      <c r="I58">
        <f>612.8-(15.53*2)</f>
        <v>581.74</v>
      </c>
    </row>
    <row r="61" spans="7:10" x14ac:dyDescent="0.3">
      <c r="H61" t="s">
        <v>199</v>
      </c>
      <c r="I61">
        <f>1005.75-I58</f>
        <v>424.01</v>
      </c>
    </row>
  </sheetData>
  <sortState xmlns:xlrd2="http://schemas.microsoft.com/office/spreadsheetml/2017/richdata2" ref="H2:H48">
    <sortCondition ref="H2:H48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D730-C61A-40BB-8B89-6ABDA6E6E49D}">
  <dimension ref="A1:F52"/>
  <sheetViews>
    <sheetView tabSelected="1" topLeftCell="A11" zoomScale="70" zoomScaleNormal="70" workbookViewId="0">
      <selection activeCell="M27" sqref="M27"/>
    </sheetView>
  </sheetViews>
  <sheetFormatPr defaultRowHeight="14.4" x14ac:dyDescent="0.3"/>
  <cols>
    <col min="1" max="1" width="8.88671875" style="20"/>
    <col min="2" max="2" width="34.109375" bestFit="1" customWidth="1"/>
    <col min="3" max="3" width="14.88671875" customWidth="1"/>
    <col min="4" max="4" width="14.6640625" customWidth="1"/>
    <col min="5" max="5" width="7.44140625" customWidth="1"/>
    <col min="6" max="6" width="31.33203125" customWidth="1"/>
  </cols>
  <sheetData>
    <row r="1" spans="1:6" x14ac:dyDescent="0.3">
      <c r="A1" s="20" t="s">
        <v>127</v>
      </c>
      <c r="B1" t="s">
        <v>128</v>
      </c>
      <c r="C1" t="s">
        <v>200</v>
      </c>
      <c r="D1" t="s">
        <v>215</v>
      </c>
      <c r="E1" t="s">
        <v>212</v>
      </c>
      <c r="F1" t="s">
        <v>217</v>
      </c>
    </row>
    <row r="2" spans="1:6" s="11" customFormat="1" x14ac:dyDescent="0.3">
      <c r="A2" s="21">
        <v>1</v>
      </c>
      <c r="B2" s="11" t="s">
        <v>201</v>
      </c>
      <c r="C2" s="12">
        <v>40310</v>
      </c>
      <c r="D2" s="11" t="s">
        <v>204</v>
      </c>
      <c r="E2" s="14">
        <f ca="1">YEAR(TODAY())-YEAR(Tabela24[[#This Row],[data nascimento]])</f>
        <v>16</v>
      </c>
    </row>
    <row r="3" spans="1:6" s="11" customFormat="1" x14ac:dyDescent="0.3">
      <c r="A3" s="21">
        <v>2</v>
      </c>
      <c r="B3" s="11" t="s">
        <v>134</v>
      </c>
      <c r="C3" s="12">
        <v>42022</v>
      </c>
      <c r="D3" s="11" t="s">
        <v>202</v>
      </c>
      <c r="E3" s="14">
        <f ca="1">YEAR(TODAY())-YEAR(Tabela24[[#This Row],[data nascimento]])</f>
        <v>11</v>
      </c>
    </row>
    <row r="4" spans="1:6" s="11" customFormat="1" x14ac:dyDescent="0.3">
      <c r="A4" s="21">
        <v>3</v>
      </c>
      <c r="B4" s="11" t="s">
        <v>137</v>
      </c>
      <c r="C4" s="15">
        <v>41741</v>
      </c>
      <c r="D4" s="11" t="s">
        <v>202</v>
      </c>
      <c r="E4" s="14">
        <f ca="1">YEAR(TODAY())-YEAR(Tabela24[[#This Row],[data nascimento]])</f>
        <v>12</v>
      </c>
    </row>
    <row r="5" spans="1:6" s="11" customFormat="1" x14ac:dyDescent="0.3">
      <c r="A5" s="21">
        <v>4</v>
      </c>
      <c r="B5" s="11" t="s">
        <v>140</v>
      </c>
      <c r="C5" s="15">
        <v>41098</v>
      </c>
      <c r="D5" s="11" t="s">
        <v>202</v>
      </c>
      <c r="E5" s="14">
        <f ca="1">YEAR(TODAY())-YEAR(Tabela24[[#This Row],[data nascimento]])</f>
        <v>14</v>
      </c>
      <c r="F5" s="11" t="s">
        <v>220</v>
      </c>
    </row>
    <row r="6" spans="1:6" s="11" customFormat="1" x14ac:dyDescent="0.3">
      <c r="A6" s="21">
        <v>5</v>
      </c>
      <c r="B6" s="11" t="s">
        <v>142</v>
      </c>
      <c r="C6" s="12">
        <v>40577</v>
      </c>
      <c r="D6" s="11" t="s">
        <v>203</v>
      </c>
      <c r="E6" s="14">
        <f ca="1">YEAR(TODAY())-YEAR(Tabela24[[#This Row],[data nascimento]])</f>
        <v>15</v>
      </c>
    </row>
    <row r="7" spans="1:6" s="11" customFormat="1" x14ac:dyDescent="0.3">
      <c r="A7" s="21">
        <v>6</v>
      </c>
      <c r="B7" s="11" t="s">
        <v>143</v>
      </c>
      <c r="C7" s="15">
        <v>39730</v>
      </c>
      <c r="D7" s="11" t="s">
        <v>203</v>
      </c>
      <c r="E7" s="14">
        <f ca="1">YEAR(TODAY())-YEAR(Tabela24[[#This Row],[data nascimento]])</f>
        <v>18</v>
      </c>
    </row>
    <row r="8" spans="1:6" s="11" customFormat="1" x14ac:dyDescent="0.3">
      <c r="A8" s="21">
        <v>7</v>
      </c>
      <c r="B8" s="11" t="s">
        <v>214</v>
      </c>
      <c r="C8" s="12">
        <v>42003</v>
      </c>
      <c r="D8" s="11" t="s">
        <v>202</v>
      </c>
      <c r="E8" s="14">
        <f ca="1">YEAR(TODAY())-YEAR(Tabela24[[#This Row],[data nascimento]])</f>
        <v>12</v>
      </c>
    </row>
    <row r="9" spans="1:6" s="11" customFormat="1" x14ac:dyDescent="0.3">
      <c r="A9" s="21">
        <v>8</v>
      </c>
      <c r="B9" s="11" t="s">
        <v>99</v>
      </c>
      <c r="C9" s="13">
        <v>41289</v>
      </c>
      <c r="D9" s="11" t="s">
        <v>202</v>
      </c>
      <c r="E9" s="14">
        <f ca="1">YEAR(TODAY())-YEAR(Tabela24[[#This Row],[data nascimento]])</f>
        <v>13</v>
      </c>
      <c r="F9" s="11" t="s">
        <v>220</v>
      </c>
    </row>
    <row r="10" spans="1:6" s="11" customFormat="1" x14ac:dyDescent="0.3">
      <c r="A10" s="21">
        <v>9</v>
      </c>
      <c r="B10" s="11" t="s">
        <v>147</v>
      </c>
      <c r="C10" s="13">
        <v>41611</v>
      </c>
      <c r="D10" s="11" t="s">
        <v>202</v>
      </c>
      <c r="E10" s="14">
        <f ca="1">YEAR(TODAY())-YEAR(Tabela24[[#This Row],[data nascimento]])</f>
        <v>13</v>
      </c>
      <c r="F10" s="11" t="s">
        <v>220</v>
      </c>
    </row>
    <row r="11" spans="1:6" s="11" customFormat="1" x14ac:dyDescent="0.3">
      <c r="A11" s="21">
        <v>11</v>
      </c>
      <c r="B11" s="11" t="s">
        <v>213</v>
      </c>
      <c r="C11" s="12">
        <v>39845</v>
      </c>
      <c r="D11" s="11" t="s">
        <v>204</v>
      </c>
      <c r="E11" s="14">
        <f ca="1">YEAR(TODAY())-YEAR(Tabela24[[#This Row],[data nascimento]])</f>
        <v>17</v>
      </c>
    </row>
    <row r="12" spans="1:6" s="11" customFormat="1" x14ac:dyDescent="0.3">
      <c r="A12" s="21">
        <v>10</v>
      </c>
      <c r="B12" s="11" t="s">
        <v>149</v>
      </c>
      <c r="C12" s="12">
        <v>41422</v>
      </c>
      <c r="D12" s="11" t="s">
        <v>203</v>
      </c>
      <c r="E12" s="14">
        <f ca="1">YEAR(TODAY())-YEAR(Tabela24[[#This Row],[data nascimento]])</f>
        <v>13</v>
      </c>
    </row>
    <row r="13" spans="1:6" s="11" customFormat="1" x14ac:dyDescent="0.3">
      <c r="A13" s="21">
        <v>12</v>
      </c>
      <c r="B13" s="11" t="s">
        <v>210</v>
      </c>
      <c r="C13" s="12">
        <v>39555</v>
      </c>
      <c r="D13" s="11" t="s">
        <v>204</v>
      </c>
      <c r="E13" s="14">
        <f ca="1">YEAR(TODAY())-YEAR(Tabela24[[#This Row],[data nascimento]])</f>
        <v>18</v>
      </c>
    </row>
    <row r="14" spans="1:6" s="11" customFormat="1" x14ac:dyDescent="0.3">
      <c r="A14" s="21">
        <v>13</v>
      </c>
      <c r="B14" s="11" t="s">
        <v>123</v>
      </c>
      <c r="C14" s="13">
        <v>41778</v>
      </c>
      <c r="D14" s="11" t="s">
        <v>202</v>
      </c>
      <c r="E14" s="14">
        <f ca="1">YEAR(TODAY())-YEAR(Tabela24[[#This Row],[data nascimento]])</f>
        <v>12</v>
      </c>
      <c r="F14" s="11" t="s">
        <v>220</v>
      </c>
    </row>
    <row r="15" spans="1:6" s="11" customFormat="1" x14ac:dyDescent="0.3">
      <c r="A15" s="21">
        <v>14</v>
      </c>
      <c r="B15" s="11" t="s">
        <v>154</v>
      </c>
      <c r="C15" s="12">
        <v>40065</v>
      </c>
      <c r="D15" s="11" t="s">
        <v>203</v>
      </c>
      <c r="E15" s="14">
        <f ca="1">YEAR(TODAY())-YEAR(Tabela24[[#This Row],[data nascimento]])</f>
        <v>17</v>
      </c>
    </row>
    <row r="16" spans="1:6" s="11" customFormat="1" x14ac:dyDescent="0.3">
      <c r="A16" s="21">
        <v>15</v>
      </c>
      <c r="B16" s="11" t="s">
        <v>19</v>
      </c>
      <c r="C16" s="13">
        <v>42249</v>
      </c>
      <c r="D16" s="11" t="s">
        <v>202</v>
      </c>
      <c r="E16" s="14">
        <f ca="1">YEAR(TODAY())-YEAR(Tabela24[[#This Row],[data nascimento]])</f>
        <v>11</v>
      </c>
      <c r="F16" s="11" t="s">
        <v>220</v>
      </c>
    </row>
    <row r="17" spans="1:6" s="11" customFormat="1" x14ac:dyDescent="0.3">
      <c r="A17" s="21">
        <v>16</v>
      </c>
      <c r="B17" s="11" t="s">
        <v>27</v>
      </c>
      <c r="C17" s="13">
        <v>39981</v>
      </c>
      <c r="D17" s="11" t="s">
        <v>202</v>
      </c>
      <c r="E17" s="14">
        <f ca="1">YEAR(TODAY())-YEAR(Tabela24[[#This Row],[data nascimento]])</f>
        <v>17</v>
      </c>
      <c r="F17" s="11" t="s">
        <v>221</v>
      </c>
    </row>
    <row r="18" spans="1:6" s="11" customFormat="1" x14ac:dyDescent="0.3">
      <c r="A18" s="21">
        <v>17</v>
      </c>
      <c r="B18" s="11" t="s">
        <v>55</v>
      </c>
      <c r="C18" s="13">
        <v>40620</v>
      </c>
      <c r="D18" s="11" t="s">
        <v>202</v>
      </c>
      <c r="E18" s="14">
        <f ca="1">YEAR(TODAY())-YEAR(Tabela24[[#This Row],[data nascimento]])</f>
        <v>15</v>
      </c>
      <c r="F18" s="11" t="s">
        <v>220</v>
      </c>
    </row>
    <row r="19" spans="1:6" s="11" customFormat="1" x14ac:dyDescent="0.3">
      <c r="A19" s="21">
        <v>18</v>
      </c>
      <c r="B19" s="11" t="s">
        <v>208</v>
      </c>
      <c r="C19" s="12">
        <v>39860</v>
      </c>
      <c r="D19" s="11" t="s">
        <v>204</v>
      </c>
      <c r="E19" s="14">
        <f ca="1">YEAR(TODAY())-YEAR(Tabela24[[#This Row],[data nascimento]])</f>
        <v>17</v>
      </c>
    </row>
    <row r="20" spans="1:6" s="11" customFormat="1" x14ac:dyDescent="0.3">
      <c r="A20" s="21">
        <v>19</v>
      </c>
      <c r="B20" s="11" t="s">
        <v>209</v>
      </c>
      <c r="C20" s="12">
        <v>41772</v>
      </c>
      <c r="D20" s="11" t="s">
        <v>202</v>
      </c>
      <c r="E20" s="14">
        <f ca="1">YEAR(TODAY())-YEAR(Tabela24[[#This Row],[data nascimento]])</f>
        <v>12</v>
      </c>
    </row>
    <row r="21" spans="1:6" s="11" customFormat="1" x14ac:dyDescent="0.3">
      <c r="A21" s="21">
        <v>20</v>
      </c>
      <c r="B21" s="11" t="s">
        <v>160</v>
      </c>
      <c r="C21" s="13">
        <v>42242</v>
      </c>
      <c r="D21" s="11" t="s">
        <v>202</v>
      </c>
      <c r="E21" s="14">
        <f ca="1">YEAR(TODAY())-YEAR(Tabela24[[#This Row],[data nascimento]])</f>
        <v>11</v>
      </c>
      <c r="F21" s="11" t="s">
        <v>220</v>
      </c>
    </row>
    <row r="22" spans="1:6" s="11" customFormat="1" x14ac:dyDescent="0.3">
      <c r="A22" s="21">
        <v>21</v>
      </c>
      <c r="B22" s="11" t="s">
        <v>161</v>
      </c>
      <c r="C22" s="15">
        <v>42404</v>
      </c>
      <c r="D22" s="11" t="s">
        <v>202</v>
      </c>
      <c r="E22" s="14">
        <f ca="1">YEAR(TODAY())-YEAR(Tabela24[[#This Row],[data nascimento]])</f>
        <v>10</v>
      </c>
      <c r="F22" s="11" t="s">
        <v>220</v>
      </c>
    </row>
    <row r="23" spans="1:6" s="11" customFormat="1" x14ac:dyDescent="0.3">
      <c r="A23" s="21">
        <v>22</v>
      </c>
      <c r="B23" s="17" t="s">
        <v>163</v>
      </c>
      <c r="C23" s="24">
        <v>42857</v>
      </c>
      <c r="D23" s="17" t="s">
        <v>202</v>
      </c>
      <c r="E23" s="23">
        <f ca="1">YEAR(TODAY())-YEAR(Tabela24[[#This Row],[data nascimento]])</f>
        <v>9</v>
      </c>
      <c r="F23" s="17" t="s">
        <v>223</v>
      </c>
    </row>
    <row r="24" spans="1:6" s="11" customFormat="1" x14ac:dyDescent="0.3">
      <c r="A24" s="21">
        <v>23</v>
      </c>
      <c r="B24" s="11" t="s">
        <v>164</v>
      </c>
      <c r="C24" s="12">
        <v>39160</v>
      </c>
      <c r="D24" s="11" t="s">
        <v>203</v>
      </c>
      <c r="E24" s="14">
        <f ca="1">YEAR(TODAY())-YEAR(Tabela24[[#This Row],[data nascimento]])</f>
        <v>19</v>
      </c>
    </row>
    <row r="25" spans="1:6" s="11" customFormat="1" x14ac:dyDescent="0.3">
      <c r="A25" s="21">
        <v>24</v>
      </c>
      <c r="B25" s="11" t="s">
        <v>224</v>
      </c>
      <c r="C25" s="12">
        <v>41335</v>
      </c>
      <c r="D25" s="11" t="s">
        <v>203</v>
      </c>
      <c r="E25" s="14">
        <f ca="1">YEAR(TODAY())-YEAR(Tabela24[[#This Row],[data nascimento]])</f>
        <v>13</v>
      </c>
    </row>
    <row r="26" spans="1:6" s="11" customFormat="1" x14ac:dyDescent="0.3">
      <c r="A26" s="21">
        <v>25</v>
      </c>
      <c r="B26" s="11" t="s">
        <v>168</v>
      </c>
      <c r="C26" s="15">
        <v>41436</v>
      </c>
      <c r="D26" s="11" t="s">
        <v>202</v>
      </c>
      <c r="E26" s="14">
        <f ca="1">YEAR(TODAY())-YEAR(Tabela24[[#This Row],[data nascimento]])</f>
        <v>13</v>
      </c>
      <c r="F26" s="11" t="s">
        <v>220</v>
      </c>
    </row>
    <row r="27" spans="1:6" s="11" customFormat="1" x14ac:dyDescent="0.3">
      <c r="A27" s="21">
        <v>26</v>
      </c>
      <c r="B27" s="11" t="s">
        <v>170</v>
      </c>
      <c r="C27" s="12">
        <v>41876</v>
      </c>
      <c r="D27" s="11" t="s">
        <v>202</v>
      </c>
      <c r="E27" s="14">
        <f ca="1">YEAR(TODAY())-YEAR(Tabela24[[#This Row],[data nascimento]])</f>
        <v>12</v>
      </c>
      <c r="F27" s="11" t="s">
        <v>218</v>
      </c>
    </row>
    <row r="28" spans="1:6" s="11" customFormat="1" x14ac:dyDescent="0.3">
      <c r="A28" s="21">
        <v>27</v>
      </c>
      <c r="B28" s="11" t="s">
        <v>171</v>
      </c>
      <c r="C28" s="12">
        <v>41094</v>
      </c>
      <c r="D28" s="11" t="s">
        <v>203</v>
      </c>
      <c r="E28" s="14">
        <f ca="1">YEAR(TODAY())-YEAR(Tabela24[[#This Row],[data nascimento]])</f>
        <v>14</v>
      </c>
    </row>
    <row r="29" spans="1:6" s="11" customFormat="1" x14ac:dyDescent="0.3">
      <c r="A29" s="21">
        <v>28</v>
      </c>
      <c r="B29" s="11" t="s">
        <v>173</v>
      </c>
      <c r="C29" s="15">
        <v>41165</v>
      </c>
      <c r="D29" s="11" t="s">
        <v>202</v>
      </c>
      <c r="E29" s="14">
        <f ca="1">YEAR(TODAY())-YEAR(Tabela24[[#This Row],[data nascimento]])</f>
        <v>14</v>
      </c>
    </row>
    <row r="30" spans="1:6" s="11" customFormat="1" x14ac:dyDescent="0.3">
      <c r="A30" s="21">
        <v>29</v>
      </c>
      <c r="B30" s="11" t="s">
        <v>115</v>
      </c>
      <c r="C30" s="13">
        <v>41647</v>
      </c>
      <c r="D30" s="11" t="s">
        <v>202</v>
      </c>
      <c r="E30" s="14">
        <f ca="1">YEAR(TODAY())-YEAR(Tabela24[[#This Row],[data nascimento]])</f>
        <v>12</v>
      </c>
      <c r="F30" s="11" t="s">
        <v>220</v>
      </c>
    </row>
    <row r="31" spans="1:6" s="11" customFormat="1" x14ac:dyDescent="0.3">
      <c r="A31" s="21">
        <v>32</v>
      </c>
      <c r="B31" s="11" t="s">
        <v>207</v>
      </c>
      <c r="C31" s="12">
        <v>41252</v>
      </c>
      <c r="D31" s="11" t="s">
        <v>203</v>
      </c>
      <c r="E31" s="14">
        <f ca="1">YEAR(TODAY())-YEAR(Tabela24[[#This Row],[data nascimento]])</f>
        <v>14</v>
      </c>
    </row>
    <row r="32" spans="1:6" s="11" customFormat="1" x14ac:dyDescent="0.3">
      <c r="A32" s="21">
        <v>31</v>
      </c>
      <c r="B32" s="11" t="s">
        <v>175</v>
      </c>
      <c r="C32" s="12">
        <v>41204</v>
      </c>
      <c r="D32" s="11" t="s">
        <v>202</v>
      </c>
      <c r="E32" s="14">
        <f ca="1">YEAR(TODAY())-YEAR(Tabela24[[#This Row],[data nascimento]])</f>
        <v>14</v>
      </c>
    </row>
    <row r="33" spans="1:6" s="11" customFormat="1" x14ac:dyDescent="0.3">
      <c r="A33" s="21">
        <v>33</v>
      </c>
      <c r="B33" s="11" t="s">
        <v>43</v>
      </c>
      <c r="C33" s="13">
        <v>42475</v>
      </c>
      <c r="D33" s="11" t="s">
        <v>202</v>
      </c>
      <c r="E33" s="14">
        <f ca="1">YEAR(TODAY())-YEAR(Tabela24[[#This Row],[data nascimento]])</f>
        <v>10</v>
      </c>
      <c r="F33" s="11" t="s">
        <v>220</v>
      </c>
    </row>
    <row r="34" spans="1:6" s="11" customFormat="1" x14ac:dyDescent="0.3">
      <c r="A34" s="21">
        <v>34</v>
      </c>
      <c r="B34" s="11" t="s">
        <v>35</v>
      </c>
      <c r="C34" s="13">
        <v>42485</v>
      </c>
      <c r="D34" s="11" t="s">
        <v>202</v>
      </c>
      <c r="E34" s="14">
        <f ca="1">YEAR(TODAY())-YEAR(Tabela24[[#This Row],[data nascimento]])</f>
        <v>10</v>
      </c>
      <c r="F34" s="11" t="s">
        <v>220</v>
      </c>
    </row>
    <row r="35" spans="1:6" s="11" customFormat="1" x14ac:dyDescent="0.3">
      <c r="A35" s="21">
        <v>35</v>
      </c>
      <c r="B35" s="11" t="s">
        <v>179</v>
      </c>
      <c r="C35" s="13">
        <v>42347</v>
      </c>
      <c r="D35" s="11" t="s">
        <v>202</v>
      </c>
      <c r="E35" s="14">
        <f ca="1">YEAR(TODAY())-YEAR(Tabela24[[#This Row],[data nascimento]])</f>
        <v>11</v>
      </c>
      <c r="F35" s="11" t="s">
        <v>220</v>
      </c>
    </row>
    <row r="36" spans="1:6" s="11" customFormat="1" x14ac:dyDescent="0.3">
      <c r="A36" s="21">
        <v>36</v>
      </c>
      <c r="B36" s="11" t="s">
        <v>180</v>
      </c>
      <c r="C36" s="13">
        <v>42080</v>
      </c>
      <c r="D36" s="11" t="s">
        <v>202</v>
      </c>
      <c r="E36" s="14">
        <f ca="1">YEAR(TODAY())-YEAR(Tabela24[[#This Row],[data nascimento]])</f>
        <v>11</v>
      </c>
      <c r="F36" s="11" t="s">
        <v>220</v>
      </c>
    </row>
    <row r="37" spans="1:6" s="11" customFormat="1" x14ac:dyDescent="0.3">
      <c r="A37" s="21">
        <v>37</v>
      </c>
      <c r="B37" s="11" t="s">
        <v>79</v>
      </c>
      <c r="C37" s="13">
        <v>42532</v>
      </c>
      <c r="D37" s="11" t="s">
        <v>202</v>
      </c>
      <c r="E37" s="14">
        <f ca="1">YEAR(TODAY())-YEAR(Tabela24[[#This Row],[data nascimento]])</f>
        <v>10</v>
      </c>
      <c r="F37" s="11" t="s">
        <v>220</v>
      </c>
    </row>
    <row r="38" spans="1:6" s="11" customFormat="1" x14ac:dyDescent="0.3">
      <c r="A38" s="21">
        <v>38</v>
      </c>
      <c r="B38" s="11" t="s">
        <v>183</v>
      </c>
      <c r="C38" s="13">
        <v>42234</v>
      </c>
      <c r="D38" s="11" t="s">
        <v>202</v>
      </c>
      <c r="E38" s="14">
        <f ca="1">YEAR(TODAY())-YEAR(Tabela24[[#This Row],[data nascimento]])</f>
        <v>11</v>
      </c>
      <c r="F38" s="11" t="s">
        <v>220</v>
      </c>
    </row>
    <row r="39" spans="1:6" s="11" customFormat="1" x14ac:dyDescent="0.3">
      <c r="A39" s="21">
        <v>39</v>
      </c>
      <c r="B39" s="11" t="s">
        <v>23</v>
      </c>
      <c r="C39" s="13">
        <v>42201</v>
      </c>
      <c r="D39" s="11" t="s">
        <v>202</v>
      </c>
      <c r="E39" s="14">
        <f ca="1">YEAR(TODAY())-YEAR(Tabela24[[#This Row],[data nascimento]])</f>
        <v>11</v>
      </c>
      <c r="F39" s="11" t="s">
        <v>220</v>
      </c>
    </row>
    <row r="40" spans="1:6" s="11" customFormat="1" x14ac:dyDescent="0.3">
      <c r="A40" s="21">
        <v>40</v>
      </c>
      <c r="B40" s="11" t="s">
        <v>185</v>
      </c>
      <c r="C40" s="12">
        <v>41827</v>
      </c>
      <c r="D40" s="11" t="s">
        <v>202</v>
      </c>
      <c r="E40" s="14">
        <f ca="1">YEAR(TODAY())-YEAR(Tabela24[[#This Row],[data nascimento]])</f>
        <v>12</v>
      </c>
    </row>
    <row r="41" spans="1:6" s="11" customFormat="1" x14ac:dyDescent="0.3">
      <c r="A41" s="21">
        <v>41</v>
      </c>
      <c r="B41" s="11" t="s">
        <v>211</v>
      </c>
      <c r="C41" s="12">
        <v>41089</v>
      </c>
      <c r="D41" s="11" t="s">
        <v>203</v>
      </c>
      <c r="E41" s="14">
        <f ca="1">YEAR(TODAY())-YEAR(Tabela24[[#This Row],[data nascimento]])</f>
        <v>14</v>
      </c>
    </row>
    <row r="42" spans="1:6" s="11" customFormat="1" x14ac:dyDescent="0.3">
      <c r="A42" s="21">
        <v>42</v>
      </c>
      <c r="B42" s="11" t="s">
        <v>205</v>
      </c>
      <c r="C42" s="12">
        <v>37748</v>
      </c>
      <c r="D42" s="11" t="s">
        <v>204</v>
      </c>
      <c r="E42" s="14">
        <f ca="1">YEAR(TODAY())-YEAR(Tabela24[[#This Row],[data nascimento]])</f>
        <v>23</v>
      </c>
    </row>
    <row r="43" spans="1:6" s="11" customFormat="1" x14ac:dyDescent="0.3">
      <c r="A43" s="21">
        <v>43</v>
      </c>
      <c r="B43" s="17" t="s">
        <v>83</v>
      </c>
      <c r="C43" s="22">
        <v>43006</v>
      </c>
      <c r="D43" s="17" t="s">
        <v>202</v>
      </c>
      <c r="E43" s="23">
        <f ca="1">YEAR(TODAY())-YEAR(Tabela24[[#This Row],[data nascimento]])</f>
        <v>9</v>
      </c>
      <c r="F43" s="17" t="s">
        <v>223</v>
      </c>
    </row>
    <row r="44" spans="1:6" s="11" customFormat="1" x14ac:dyDescent="0.3">
      <c r="A44" s="21">
        <v>44</v>
      </c>
      <c r="B44" s="11" t="s">
        <v>190</v>
      </c>
      <c r="C44" s="12">
        <v>40992</v>
      </c>
      <c r="D44" s="11" t="s">
        <v>203</v>
      </c>
      <c r="E44" s="14">
        <f ca="1">YEAR(TODAY())-YEAR(Tabela24[[#This Row],[data nascimento]])</f>
        <v>14</v>
      </c>
    </row>
    <row r="45" spans="1:6" s="11" customFormat="1" x14ac:dyDescent="0.3">
      <c r="A45" s="21">
        <v>45</v>
      </c>
      <c r="B45" s="11" t="s">
        <v>75</v>
      </c>
      <c r="C45" s="13">
        <v>42532</v>
      </c>
      <c r="D45" s="11" t="s">
        <v>202</v>
      </c>
      <c r="E45" s="14">
        <f ca="1">YEAR(TODAY())-YEAR(Tabela24[[#This Row],[data nascimento]])</f>
        <v>10</v>
      </c>
      <c r="F45" s="11" t="s">
        <v>220</v>
      </c>
    </row>
    <row r="46" spans="1:6" s="11" customFormat="1" x14ac:dyDescent="0.3">
      <c r="A46" s="21">
        <v>46</v>
      </c>
      <c r="B46" s="11" t="s">
        <v>206</v>
      </c>
      <c r="C46" s="12">
        <v>32846</v>
      </c>
      <c r="D46" s="11" t="s">
        <v>203</v>
      </c>
      <c r="E46" s="14">
        <f ca="1">YEAR(TODAY())-YEAR(Tabela24[[#This Row],[data nascimento]])</f>
        <v>37</v>
      </c>
    </row>
    <row r="47" spans="1:6" s="11" customFormat="1" x14ac:dyDescent="0.3">
      <c r="A47" s="21">
        <v>47</v>
      </c>
      <c r="B47" s="17" t="s">
        <v>192</v>
      </c>
      <c r="C47" s="22">
        <v>43394</v>
      </c>
      <c r="D47" s="17" t="s">
        <v>202</v>
      </c>
      <c r="E47" s="23">
        <f ca="1">YEAR(TODAY())-YEAR(Tabela24[[#This Row],[data nascimento]])</f>
        <v>8</v>
      </c>
      <c r="F47" s="17" t="s">
        <v>223</v>
      </c>
    </row>
    <row r="48" spans="1:6" s="11" customFormat="1" x14ac:dyDescent="0.3">
      <c r="A48" s="21">
        <v>48</v>
      </c>
      <c r="B48" s="11" t="s">
        <v>195</v>
      </c>
      <c r="C48" s="12">
        <v>40682</v>
      </c>
      <c r="D48" s="11" t="s">
        <v>203</v>
      </c>
      <c r="E48" s="14">
        <f ca="1">YEAR(TODAY())-YEAR(Tabela24[[#This Row],[data nascimento]])</f>
        <v>15</v>
      </c>
    </row>
    <row r="49" spans="1:2" s="11" customFormat="1" x14ac:dyDescent="0.3">
      <c r="A49" s="21"/>
    </row>
    <row r="51" spans="1:2" x14ac:dyDescent="0.3">
      <c r="B51" s="18" t="s">
        <v>219</v>
      </c>
    </row>
    <row r="52" spans="1:2" x14ac:dyDescent="0.3">
      <c r="B52" s="19" t="s">
        <v>222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2E25-5562-4A5D-B160-2F14BD32EAE0}">
  <dimension ref="A1:K57"/>
  <sheetViews>
    <sheetView workbookViewId="0">
      <selection activeCell="M8" sqref="M8"/>
    </sheetView>
  </sheetViews>
  <sheetFormatPr defaultRowHeight="14.4" x14ac:dyDescent="0.3"/>
  <cols>
    <col min="1" max="1" width="8.88671875" style="20"/>
    <col min="2" max="2" width="34.109375" style="11" bestFit="1" customWidth="1"/>
    <col min="3" max="3" width="15.44140625" style="11" bestFit="1" customWidth="1"/>
    <col min="4" max="4" width="10.5546875" style="11" hidden="1" customWidth="1"/>
    <col min="5" max="5" width="7.44140625" style="11" hidden="1" customWidth="1"/>
    <col min="6" max="6" width="31.33203125" style="11" hidden="1" customWidth="1"/>
    <col min="7" max="7" width="10.88671875" style="20" bestFit="1" customWidth="1"/>
    <col min="10" max="10" width="27.44140625" bestFit="1" customWidth="1"/>
    <col min="11" max="11" width="11.88671875" bestFit="1" customWidth="1"/>
  </cols>
  <sheetData>
    <row r="1" spans="1:11" x14ac:dyDescent="0.3">
      <c r="A1" s="20" t="s">
        <v>127</v>
      </c>
      <c r="B1" s="11" t="s">
        <v>128</v>
      </c>
      <c r="C1" s="11" t="s">
        <v>200</v>
      </c>
      <c r="D1" s="11" t="s">
        <v>215</v>
      </c>
      <c r="E1" s="11" t="s">
        <v>212</v>
      </c>
      <c r="F1" s="11" t="s">
        <v>217</v>
      </c>
      <c r="G1" s="20" t="s">
        <v>240</v>
      </c>
      <c r="H1" t="s">
        <v>241</v>
      </c>
    </row>
    <row r="2" spans="1:11" s="11" customFormat="1" x14ac:dyDescent="0.3">
      <c r="A2" s="21">
        <v>1</v>
      </c>
      <c r="B2" s="11" t="s">
        <v>201</v>
      </c>
      <c r="C2" s="12">
        <v>40310</v>
      </c>
      <c r="D2" s="11" t="s">
        <v>203</v>
      </c>
      <c r="E2" s="14">
        <f ca="1">YEAR(TODAY())-YEAR(Tabela246[[#This Row],[data nascimento]])</f>
        <v>16</v>
      </c>
      <c r="G2" s="21" t="s">
        <v>242</v>
      </c>
    </row>
    <row r="3" spans="1:11" s="11" customFormat="1" x14ac:dyDescent="0.3">
      <c r="A3" s="21">
        <v>2</v>
      </c>
      <c r="B3" s="11" t="s">
        <v>134</v>
      </c>
      <c r="C3" s="12">
        <v>42022</v>
      </c>
      <c r="D3" s="11" t="s">
        <v>202</v>
      </c>
      <c r="E3" s="14">
        <f ca="1">YEAR(TODAY())-YEAR(Tabela246[[#This Row],[data nascimento]])</f>
        <v>11</v>
      </c>
      <c r="G3" s="21">
        <v>14</v>
      </c>
    </row>
    <row r="4" spans="1:11" s="11" customFormat="1" x14ac:dyDescent="0.3">
      <c r="A4" s="21">
        <v>3</v>
      </c>
      <c r="B4" s="11" t="s">
        <v>137</v>
      </c>
      <c r="C4" s="15">
        <v>41741</v>
      </c>
      <c r="D4" s="11" t="s">
        <v>202</v>
      </c>
      <c r="E4" s="14">
        <f ca="1">YEAR(TODAY())-YEAR(Tabela246[[#This Row],[data nascimento]])</f>
        <v>12</v>
      </c>
      <c r="G4" s="21" t="s">
        <v>243</v>
      </c>
      <c r="H4" s="11" t="s">
        <v>245</v>
      </c>
    </row>
    <row r="5" spans="1:11" s="11" customFormat="1" x14ac:dyDescent="0.3">
      <c r="A5" s="21">
        <v>4</v>
      </c>
      <c r="B5" s="11" t="s">
        <v>140</v>
      </c>
      <c r="C5" s="15">
        <v>41098</v>
      </c>
      <c r="D5" s="11" t="s">
        <v>202</v>
      </c>
      <c r="E5" s="14">
        <f ca="1">YEAR(TODAY())-YEAR(Tabela246[[#This Row],[data nascimento]])</f>
        <v>14</v>
      </c>
      <c r="F5" s="11" t="s">
        <v>220</v>
      </c>
      <c r="G5" s="21">
        <v>14</v>
      </c>
    </row>
    <row r="6" spans="1:11" s="11" customFormat="1" hidden="1" x14ac:dyDescent="0.3">
      <c r="A6" s="21">
        <v>5</v>
      </c>
      <c r="B6" s="16" t="s">
        <v>142</v>
      </c>
      <c r="C6" s="12">
        <v>40577</v>
      </c>
      <c r="D6" s="11" t="s">
        <v>202</v>
      </c>
      <c r="E6" s="14">
        <f ca="1">YEAR(TODAY())-YEAR(Tabela246[[#This Row],[data nascimento]])</f>
        <v>15</v>
      </c>
      <c r="G6" s="21"/>
    </row>
    <row r="7" spans="1:11" s="11" customFormat="1" x14ac:dyDescent="0.3">
      <c r="A7" s="21">
        <v>6</v>
      </c>
      <c r="B7" s="16" t="s">
        <v>143</v>
      </c>
      <c r="C7" s="15">
        <v>39730</v>
      </c>
      <c r="D7" s="11" t="s">
        <v>202</v>
      </c>
      <c r="E7" s="14">
        <f ca="1">YEAR(TODAY())-YEAR(Tabela246[[#This Row],[data nascimento]])</f>
        <v>18</v>
      </c>
      <c r="G7" s="21" t="s">
        <v>243</v>
      </c>
      <c r="J7" s="25" t="s">
        <v>142</v>
      </c>
      <c r="K7" s="11" t="s">
        <v>231</v>
      </c>
    </row>
    <row r="8" spans="1:11" s="11" customFormat="1" x14ac:dyDescent="0.3">
      <c r="A8" s="21">
        <v>34</v>
      </c>
      <c r="B8" s="11" t="s">
        <v>35</v>
      </c>
      <c r="C8" s="13">
        <v>42485</v>
      </c>
      <c r="D8" s="11" t="s">
        <v>202</v>
      </c>
      <c r="E8" s="14">
        <f ca="1">YEAR(TODAY())-YEAR(Tabela246[[#This Row],[data nascimento]])</f>
        <v>10</v>
      </c>
      <c r="F8" s="11" t="s">
        <v>220</v>
      </c>
      <c r="G8" s="21" t="s">
        <v>247</v>
      </c>
      <c r="J8" s="25" t="s">
        <v>190</v>
      </c>
      <c r="K8" s="11" t="s">
        <v>231</v>
      </c>
    </row>
    <row r="9" spans="1:11" s="11" customFormat="1" hidden="1" x14ac:dyDescent="0.3">
      <c r="A9" s="21">
        <v>8</v>
      </c>
      <c r="B9" s="11" t="s">
        <v>99</v>
      </c>
      <c r="C9" s="13">
        <v>41289</v>
      </c>
      <c r="D9" s="11" t="s">
        <v>202</v>
      </c>
      <c r="E9" s="14">
        <f ca="1">YEAR(TODAY())-YEAR(Tabela246[[#This Row],[data nascimento]])</f>
        <v>13</v>
      </c>
      <c r="F9" s="11" t="s">
        <v>220</v>
      </c>
      <c r="G9" s="21"/>
      <c r="J9" s="25" t="s">
        <v>195</v>
      </c>
    </row>
    <row r="10" spans="1:11" s="11" customFormat="1" hidden="1" x14ac:dyDescent="0.3">
      <c r="A10" s="21">
        <v>9</v>
      </c>
      <c r="B10" s="11" t="s">
        <v>147</v>
      </c>
      <c r="C10" s="13">
        <v>41611</v>
      </c>
      <c r="D10" s="11" t="s">
        <v>202</v>
      </c>
      <c r="E10" s="14">
        <f ca="1">YEAR(TODAY())-YEAR(Tabela246[[#This Row],[data nascimento]])</f>
        <v>13</v>
      </c>
      <c r="F10" s="11" t="s">
        <v>220</v>
      </c>
      <c r="G10" s="21"/>
    </row>
    <row r="11" spans="1:11" s="11" customFormat="1" hidden="1" x14ac:dyDescent="0.3">
      <c r="A11" s="21">
        <v>11</v>
      </c>
      <c r="B11" s="11" t="s">
        <v>213</v>
      </c>
      <c r="C11" s="12">
        <v>39845</v>
      </c>
      <c r="D11" s="11" t="s">
        <v>203</v>
      </c>
      <c r="E11" s="14">
        <f ca="1">YEAR(TODAY())-YEAR(Tabela246[[#This Row],[data nascimento]])</f>
        <v>17</v>
      </c>
      <c r="G11" s="21"/>
    </row>
    <row r="12" spans="1:11" s="11" customFormat="1" x14ac:dyDescent="0.3">
      <c r="A12" s="21">
        <v>10</v>
      </c>
      <c r="B12" s="11" t="s">
        <v>149</v>
      </c>
      <c r="C12" s="12">
        <v>41422</v>
      </c>
      <c r="D12" s="11" t="s">
        <v>203</v>
      </c>
      <c r="E12" s="14">
        <f ca="1">YEAR(TODAY())-YEAR(Tabela246[[#This Row],[data nascimento]])</f>
        <v>13</v>
      </c>
      <c r="G12" s="21" t="s">
        <v>243</v>
      </c>
      <c r="H12" s="11" t="s">
        <v>245</v>
      </c>
    </row>
    <row r="13" spans="1:11" s="11" customFormat="1" hidden="1" x14ac:dyDescent="0.3">
      <c r="A13" s="21">
        <v>12</v>
      </c>
      <c r="B13" s="11" t="s">
        <v>210</v>
      </c>
      <c r="C13" s="12">
        <v>39555</v>
      </c>
      <c r="D13" s="11" t="s">
        <v>204</v>
      </c>
      <c r="E13" s="14">
        <f ca="1">YEAR(TODAY())-YEAR(Tabela246[[#This Row],[data nascimento]])</f>
        <v>18</v>
      </c>
      <c r="G13" s="21"/>
      <c r="J13" s="25" t="s">
        <v>207</v>
      </c>
    </row>
    <row r="14" spans="1:11" s="11" customFormat="1" x14ac:dyDescent="0.3">
      <c r="A14" s="21">
        <v>13</v>
      </c>
      <c r="B14" s="11" t="s">
        <v>123</v>
      </c>
      <c r="C14" s="13">
        <v>41778</v>
      </c>
      <c r="D14" s="11" t="s">
        <v>202</v>
      </c>
      <c r="E14" s="14">
        <f ca="1">YEAR(TODAY())-YEAR(Tabela246[[#This Row],[data nascimento]])</f>
        <v>12</v>
      </c>
      <c r="F14" s="11" t="s">
        <v>220</v>
      </c>
      <c r="G14" s="21">
        <v>14</v>
      </c>
      <c r="J14" s="25" t="s">
        <v>143</v>
      </c>
    </row>
    <row r="15" spans="1:11" s="11" customFormat="1" x14ac:dyDescent="0.3">
      <c r="A15" s="21">
        <v>14</v>
      </c>
      <c r="B15" s="11" t="s">
        <v>154</v>
      </c>
      <c r="C15" s="12">
        <v>40065</v>
      </c>
      <c r="D15" s="11" t="s">
        <v>203</v>
      </c>
      <c r="E15" s="14">
        <f ca="1">YEAR(TODAY())-YEAR(Tabela246[[#This Row],[data nascimento]])</f>
        <v>17</v>
      </c>
      <c r="G15" s="21" t="s">
        <v>244</v>
      </c>
      <c r="H15" s="11" t="s">
        <v>245</v>
      </c>
      <c r="J15" s="29"/>
    </row>
    <row r="16" spans="1:11" s="11" customFormat="1" x14ac:dyDescent="0.3">
      <c r="A16" s="21">
        <v>15</v>
      </c>
      <c r="B16" s="11" t="s">
        <v>19</v>
      </c>
      <c r="C16" s="13">
        <v>42249</v>
      </c>
      <c r="D16" s="11" t="s">
        <v>202</v>
      </c>
      <c r="E16" s="14">
        <f ca="1">YEAR(TODAY())-YEAR(Tabela246[[#This Row],[data nascimento]])</f>
        <v>11</v>
      </c>
      <c r="F16" s="11" t="s">
        <v>220</v>
      </c>
      <c r="G16" s="21" t="s">
        <v>242</v>
      </c>
      <c r="J16" s="25" t="s">
        <v>224</v>
      </c>
      <c r="K16" s="11" t="s">
        <v>231</v>
      </c>
    </row>
    <row r="17" spans="1:8" s="11" customFormat="1" x14ac:dyDescent="0.3">
      <c r="A17" s="21">
        <v>16</v>
      </c>
      <c r="B17" s="11" t="s">
        <v>27</v>
      </c>
      <c r="C17" s="13">
        <v>39981</v>
      </c>
      <c r="D17" s="11" t="s">
        <v>202</v>
      </c>
      <c r="E17" s="14">
        <f ca="1">YEAR(TODAY())-YEAR(Tabela246[[#This Row],[data nascimento]])</f>
        <v>17</v>
      </c>
      <c r="F17" s="11" t="s">
        <v>221</v>
      </c>
      <c r="G17" s="21" t="s">
        <v>244</v>
      </c>
    </row>
    <row r="18" spans="1:8" s="11" customFormat="1" hidden="1" x14ac:dyDescent="0.3">
      <c r="A18" s="21">
        <v>17</v>
      </c>
      <c r="B18" s="11" t="s">
        <v>55</v>
      </c>
      <c r="C18" s="13">
        <v>40620</v>
      </c>
      <c r="D18" s="11" t="s">
        <v>202</v>
      </c>
      <c r="E18" s="14">
        <f ca="1">YEAR(TODAY())-YEAR(Tabela246[[#This Row],[data nascimento]])</f>
        <v>15</v>
      </c>
      <c r="F18" s="11" t="s">
        <v>220</v>
      </c>
      <c r="G18" s="21"/>
    </row>
    <row r="19" spans="1:8" s="11" customFormat="1" hidden="1" x14ac:dyDescent="0.3">
      <c r="A19" s="21">
        <v>18</v>
      </c>
      <c r="B19" s="11" t="s">
        <v>208</v>
      </c>
      <c r="C19" s="12">
        <v>39860</v>
      </c>
      <c r="D19" s="11" t="s">
        <v>204</v>
      </c>
      <c r="E19" s="14">
        <f ca="1">YEAR(TODAY())-YEAR(Tabela246[[#This Row],[data nascimento]])</f>
        <v>17</v>
      </c>
      <c r="G19" s="21"/>
    </row>
    <row r="20" spans="1:8" s="11" customFormat="1" x14ac:dyDescent="0.3">
      <c r="A20" s="21">
        <v>19</v>
      </c>
      <c r="B20" s="11" t="s">
        <v>209</v>
      </c>
      <c r="C20" s="12">
        <v>41772</v>
      </c>
      <c r="D20" s="11" t="s">
        <v>202</v>
      </c>
      <c r="E20" s="14">
        <f ca="1">YEAR(TODAY())-YEAR(Tabela246[[#This Row],[data nascimento]])</f>
        <v>12</v>
      </c>
      <c r="G20" s="21" t="s">
        <v>243</v>
      </c>
    </row>
    <row r="21" spans="1:8" s="11" customFormat="1" x14ac:dyDescent="0.3">
      <c r="A21" s="21">
        <v>46</v>
      </c>
      <c r="B21" s="11" t="s">
        <v>75</v>
      </c>
      <c r="C21" s="13">
        <v>42532</v>
      </c>
      <c r="D21" s="11" t="s">
        <v>202</v>
      </c>
      <c r="E21" s="14">
        <f ca="1">YEAR(TODAY())-YEAR(Tabela246[[#This Row],[data nascimento]])</f>
        <v>10</v>
      </c>
      <c r="F21" s="11" t="s">
        <v>220</v>
      </c>
      <c r="G21" s="21" t="s">
        <v>249</v>
      </c>
    </row>
    <row r="22" spans="1:8" s="11" customFormat="1" hidden="1" x14ac:dyDescent="0.3">
      <c r="A22" s="21">
        <v>21</v>
      </c>
      <c r="B22" s="11" t="s">
        <v>161</v>
      </c>
      <c r="C22" s="15">
        <v>42404</v>
      </c>
      <c r="D22" s="11" t="s">
        <v>202</v>
      </c>
      <c r="E22" s="14">
        <f ca="1">YEAR(TODAY())-YEAR(Tabela246[[#This Row],[data nascimento]])</f>
        <v>10</v>
      </c>
      <c r="F22" s="11" t="s">
        <v>220</v>
      </c>
      <c r="G22" s="21"/>
    </row>
    <row r="23" spans="1:8" s="11" customFormat="1" hidden="1" x14ac:dyDescent="0.3">
      <c r="A23" s="21">
        <v>22</v>
      </c>
      <c r="B23" s="17" t="s">
        <v>163</v>
      </c>
      <c r="C23" s="24">
        <v>42857</v>
      </c>
      <c r="D23" s="17" t="s">
        <v>202</v>
      </c>
      <c r="E23" s="23">
        <f ca="1">YEAR(TODAY())-YEAR(Tabela246[[#This Row],[data nascimento]])</f>
        <v>9</v>
      </c>
      <c r="F23" s="17" t="s">
        <v>223</v>
      </c>
      <c r="G23" s="21"/>
    </row>
    <row r="24" spans="1:8" s="11" customFormat="1" x14ac:dyDescent="0.3">
      <c r="A24" s="21">
        <v>23</v>
      </c>
      <c r="B24" s="11" t="s">
        <v>164</v>
      </c>
      <c r="C24" s="12">
        <v>39160</v>
      </c>
      <c r="D24" s="11" t="s">
        <v>202</v>
      </c>
      <c r="E24" s="14">
        <f ca="1">YEAR(TODAY())-YEAR(Tabela246[[#This Row],[data nascimento]])</f>
        <v>19</v>
      </c>
      <c r="G24" s="21" t="s">
        <v>242</v>
      </c>
      <c r="H24" s="11" t="s">
        <v>245</v>
      </c>
    </row>
    <row r="25" spans="1:8" s="11" customFormat="1" x14ac:dyDescent="0.3">
      <c r="A25" s="21">
        <v>24</v>
      </c>
      <c r="B25" s="11" t="s">
        <v>224</v>
      </c>
      <c r="C25" s="12">
        <v>41335</v>
      </c>
      <c r="D25" s="11" t="s">
        <v>202</v>
      </c>
      <c r="E25" s="14">
        <f ca="1">YEAR(TODAY())-YEAR(Tabela246[[#This Row],[data nascimento]])</f>
        <v>13</v>
      </c>
      <c r="G25" s="21" t="s">
        <v>243</v>
      </c>
      <c r="H25" s="11" t="s">
        <v>245</v>
      </c>
    </row>
    <row r="26" spans="1:8" s="11" customFormat="1" x14ac:dyDescent="0.3">
      <c r="A26" s="21">
        <v>25</v>
      </c>
      <c r="B26" s="11" t="s">
        <v>168</v>
      </c>
      <c r="C26" s="15">
        <v>41436</v>
      </c>
      <c r="D26" s="11" t="s">
        <v>202</v>
      </c>
      <c r="E26" s="14">
        <f ca="1">YEAR(TODAY())-YEAR(Tabela246[[#This Row],[data nascimento]])</f>
        <v>13</v>
      </c>
      <c r="F26" s="11" t="s">
        <v>220</v>
      </c>
      <c r="G26" s="21" t="s">
        <v>249</v>
      </c>
      <c r="H26" s="11" t="s">
        <v>245</v>
      </c>
    </row>
    <row r="27" spans="1:8" s="11" customFormat="1" hidden="1" x14ac:dyDescent="0.3">
      <c r="A27" s="21">
        <v>26</v>
      </c>
      <c r="B27" s="11" t="s">
        <v>170</v>
      </c>
      <c r="C27" s="12">
        <v>41876</v>
      </c>
      <c r="D27" s="11" t="s">
        <v>202</v>
      </c>
      <c r="E27" s="14">
        <f ca="1">YEAR(TODAY())-YEAR(Tabela246[[#This Row],[data nascimento]])</f>
        <v>12</v>
      </c>
      <c r="F27" s="11" t="s">
        <v>218</v>
      </c>
      <c r="G27" s="21"/>
    </row>
    <row r="28" spans="1:8" s="11" customFormat="1" x14ac:dyDescent="0.3">
      <c r="A28" s="21">
        <v>27</v>
      </c>
      <c r="B28" s="11" t="s">
        <v>171</v>
      </c>
      <c r="C28" s="12">
        <v>41094</v>
      </c>
      <c r="D28" s="11" t="s">
        <v>203</v>
      </c>
      <c r="E28" s="14">
        <f ca="1">YEAR(TODAY())-YEAR(Tabela246[[#This Row],[data nascimento]])</f>
        <v>14</v>
      </c>
      <c r="G28" s="21" t="s">
        <v>243</v>
      </c>
      <c r="H28" s="11" t="s">
        <v>245</v>
      </c>
    </row>
    <row r="29" spans="1:8" s="11" customFormat="1" x14ac:dyDescent="0.3">
      <c r="A29" s="21">
        <v>28</v>
      </c>
      <c r="B29" s="11" t="s">
        <v>173</v>
      </c>
      <c r="C29" s="15">
        <v>41165</v>
      </c>
      <c r="D29" s="11" t="s">
        <v>202</v>
      </c>
      <c r="E29" s="14">
        <f ca="1">YEAR(TODAY())-YEAR(Tabela246[[#This Row],[data nascimento]])</f>
        <v>14</v>
      </c>
      <c r="G29" s="21" t="s">
        <v>242</v>
      </c>
    </row>
    <row r="30" spans="1:8" s="11" customFormat="1" hidden="1" x14ac:dyDescent="0.3">
      <c r="A30" s="21">
        <v>29</v>
      </c>
      <c r="B30" s="11" t="s">
        <v>115</v>
      </c>
      <c r="C30" s="13">
        <v>41647</v>
      </c>
      <c r="D30" s="11" t="s">
        <v>202</v>
      </c>
      <c r="E30" s="14">
        <f ca="1">YEAR(TODAY())-YEAR(Tabela246[[#This Row],[data nascimento]])</f>
        <v>12</v>
      </c>
      <c r="F30" s="11" t="s">
        <v>220</v>
      </c>
      <c r="G30" s="21"/>
    </row>
    <row r="31" spans="1:8" s="11" customFormat="1" hidden="1" x14ac:dyDescent="0.3">
      <c r="A31" s="21">
        <v>30</v>
      </c>
      <c r="B31" s="11" t="s">
        <v>87</v>
      </c>
      <c r="C31" s="13">
        <v>42155</v>
      </c>
      <c r="D31" s="11" t="s">
        <v>202</v>
      </c>
      <c r="E31" s="14">
        <f ca="1">YEAR(TODAY())-YEAR(Tabela246[[#This Row],[data nascimento]])</f>
        <v>11</v>
      </c>
      <c r="F31" s="11" t="s">
        <v>220</v>
      </c>
      <c r="G31" s="21"/>
    </row>
    <row r="32" spans="1:8" s="11" customFormat="1" x14ac:dyDescent="0.3">
      <c r="A32" s="21">
        <v>32</v>
      </c>
      <c r="B32" s="16" t="s">
        <v>207</v>
      </c>
      <c r="C32" s="12">
        <v>41252</v>
      </c>
      <c r="D32" s="11" t="s">
        <v>202</v>
      </c>
      <c r="E32" s="14">
        <f ca="1">YEAR(TODAY())-YEAR(Tabela246[[#This Row],[data nascimento]])</f>
        <v>14</v>
      </c>
      <c r="G32" s="21" t="s">
        <v>242</v>
      </c>
    </row>
    <row r="33" spans="1:11" s="11" customFormat="1" x14ac:dyDescent="0.3">
      <c r="A33" s="21">
        <v>31</v>
      </c>
      <c r="B33" s="11" t="s">
        <v>175</v>
      </c>
      <c r="C33" s="12">
        <v>41204</v>
      </c>
      <c r="D33" s="11" t="s">
        <v>202</v>
      </c>
      <c r="E33" s="14">
        <f ca="1">YEAR(TODAY())-YEAR(Tabela246[[#This Row],[data nascimento]])</f>
        <v>14</v>
      </c>
      <c r="G33" s="21">
        <v>14</v>
      </c>
      <c r="H33" s="11" t="s">
        <v>245</v>
      </c>
    </row>
    <row r="34" spans="1:11" s="11" customFormat="1" hidden="1" x14ac:dyDescent="0.3">
      <c r="A34" s="21">
        <v>33</v>
      </c>
      <c r="B34" s="11" t="s">
        <v>43</v>
      </c>
      <c r="C34" s="13">
        <v>42475</v>
      </c>
      <c r="D34" s="11" t="s">
        <v>202</v>
      </c>
      <c r="E34" s="14">
        <f ca="1">YEAR(TODAY())-YEAR(Tabela246[[#This Row],[data nascimento]])</f>
        <v>10</v>
      </c>
      <c r="F34" s="11" t="s">
        <v>220</v>
      </c>
      <c r="G34" s="21"/>
    </row>
    <row r="35" spans="1:11" s="11" customFormat="1" x14ac:dyDescent="0.3">
      <c r="A35" s="21">
        <v>35</v>
      </c>
      <c r="B35" s="11" t="s">
        <v>179</v>
      </c>
      <c r="C35" s="13">
        <v>42347</v>
      </c>
      <c r="D35" s="11" t="s">
        <v>202</v>
      </c>
      <c r="E35" s="14">
        <f ca="1">YEAR(TODAY())-YEAR(Tabela246[[#This Row],[data nascimento]])</f>
        <v>11</v>
      </c>
      <c r="F35" s="11" t="s">
        <v>220</v>
      </c>
      <c r="G35" s="21" t="s">
        <v>248</v>
      </c>
    </row>
    <row r="36" spans="1:11" s="11" customFormat="1" x14ac:dyDescent="0.3">
      <c r="A36" s="21">
        <v>7</v>
      </c>
      <c r="B36" s="11" t="s">
        <v>214</v>
      </c>
      <c r="C36" s="12">
        <v>42003</v>
      </c>
      <c r="D36" s="11" t="s">
        <v>202</v>
      </c>
      <c r="E36" s="14">
        <f ca="1">YEAR(TODAY())-YEAR(Tabela246[[#This Row],[data nascimento]])</f>
        <v>12</v>
      </c>
      <c r="G36" s="21" t="s">
        <v>246</v>
      </c>
    </row>
    <row r="37" spans="1:11" s="11" customFormat="1" x14ac:dyDescent="0.3">
      <c r="A37" s="21">
        <v>36</v>
      </c>
      <c r="B37" s="11" t="s">
        <v>180</v>
      </c>
      <c r="C37" s="13">
        <v>42080</v>
      </c>
      <c r="D37" s="11" t="s">
        <v>202</v>
      </c>
      <c r="E37" s="14">
        <f ca="1">YEAR(TODAY())-YEAR(Tabela246[[#This Row],[data nascimento]])</f>
        <v>11</v>
      </c>
      <c r="F37" s="11" t="s">
        <v>220</v>
      </c>
      <c r="G37" s="21">
        <v>14</v>
      </c>
    </row>
    <row r="38" spans="1:11" s="11" customFormat="1" x14ac:dyDescent="0.3">
      <c r="A38" s="21">
        <v>20</v>
      </c>
      <c r="B38" s="11" t="s">
        <v>160</v>
      </c>
      <c r="C38" s="12">
        <v>42242</v>
      </c>
      <c r="D38" s="11" t="s">
        <v>202</v>
      </c>
      <c r="E38" s="14">
        <f ca="1">YEAR(TODAY())-YEAR(Tabela246[[#This Row],[data nascimento]])</f>
        <v>11</v>
      </c>
      <c r="F38" s="11" t="s">
        <v>220</v>
      </c>
      <c r="G38" s="21" t="s">
        <v>246</v>
      </c>
      <c r="H38" s="11" t="s">
        <v>245</v>
      </c>
    </row>
    <row r="39" spans="1:11" s="11" customFormat="1" hidden="1" x14ac:dyDescent="0.3">
      <c r="A39" s="21">
        <v>38</v>
      </c>
      <c r="B39" s="11" t="s">
        <v>183</v>
      </c>
      <c r="C39" s="13">
        <v>42234</v>
      </c>
      <c r="D39" s="11" t="s">
        <v>202</v>
      </c>
      <c r="E39" s="14">
        <f ca="1">YEAR(TODAY())-YEAR(Tabela246[[#This Row],[data nascimento]])</f>
        <v>11</v>
      </c>
      <c r="F39" s="11" t="s">
        <v>220</v>
      </c>
      <c r="G39" s="21"/>
    </row>
    <row r="40" spans="1:11" s="11" customFormat="1" x14ac:dyDescent="0.3">
      <c r="A40" s="21">
        <v>39</v>
      </c>
      <c r="B40" s="11" t="s">
        <v>23</v>
      </c>
      <c r="C40" s="12">
        <v>42201</v>
      </c>
      <c r="D40" s="11" t="s">
        <v>202</v>
      </c>
      <c r="E40" s="14">
        <f ca="1">YEAR(TODAY())-YEAR(Tabela246[[#This Row],[data nascimento]])</f>
        <v>11</v>
      </c>
      <c r="F40" s="11" t="s">
        <v>220</v>
      </c>
      <c r="G40" s="21" t="s">
        <v>242</v>
      </c>
      <c r="H40" s="11" t="s">
        <v>245</v>
      </c>
      <c r="J40" s="28" t="s">
        <v>253</v>
      </c>
    </row>
    <row r="41" spans="1:11" s="11" customFormat="1" x14ac:dyDescent="0.3">
      <c r="A41" s="21">
        <v>40</v>
      </c>
      <c r="B41" s="11" t="s">
        <v>185</v>
      </c>
      <c r="C41" s="12">
        <v>41827</v>
      </c>
      <c r="D41" s="11" t="s">
        <v>202</v>
      </c>
      <c r="E41" s="14">
        <f ca="1">YEAR(TODAY())-YEAR(Tabela246[[#This Row],[data nascimento]])</f>
        <v>12</v>
      </c>
      <c r="G41" s="21" t="s">
        <v>243</v>
      </c>
    </row>
    <row r="42" spans="1:11" s="11" customFormat="1" x14ac:dyDescent="0.3">
      <c r="A42" s="21">
        <v>41</v>
      </c>
      <c r="B42" s="11" t="s">
        <v>211</v>
      </c>
      <c r="C42" s="12">
        <v>41089</v>
      </c>
      <c r="D42" s="11" t="s">
        <v>203</v>
      </c>
      <c r="E42" s="14">
        <f ca="1">YEAR(TODAY())-YEAR(Tabela246[[#This Row],[data nascimento]])</f>
        <v>14</v>
      </c>
      <c r="G42" s="21" t="s">
        <v>242</v>
      </c>
      <c r="H42" s="11" t="s">
        <v>245</v>
      </c>
      <c r="J42" s="11">
        <v>17</v>
      </c>
      <c r="K42" s="27">
        <f>J42*40</f>
        <v>680</v>
      </c>
    </row>
    <row r="43" spans="1:11" s="11" customFormat="1" hidden="1" x14ac:dyDescent="0.3">
      <c r="A43" s="21">
        <v>42</v>
      </c>
      <c r="B43" s="11" t="s">
        <v>205</v>
      </c>
      <c r="C43" s="12">
        <v>37748</v>
      </c>
      <c r="D43" s="11" t="s">
        <v>203</v>
      </c>
      <c r="E43" s="14">
        <f ca="1">YEAR(TODAY())-YEAR(Tabela246[[#This Row],[data nascimento]])</f>
        <v>23</v>
      </c>
      <c r="G43" s="21"/>
    </row>
    <row r="44" spans="1:11" s="11" customFormat="1" x14ac:dyDescent="0.3">
      <c r="A44" s="21">
        <v>43</v>
      </c>
      <c r="B44" s="11" t="s">
        <v>83</v>
      </c>
      <c r="C44" s="12">
        <v>43006</v>
      </c>
      <c r="D44" s="11" t="s">
        <v>202</v>
      </c>
      <c r="E44" s="14">
        <f ca="1">YEAR(TODAY())-YEAR(Tabela246[[#This Row],[data nascimento]])</f>
        <v>9</v>
      </c>
      <c r="F44" s="11" t="s">
        <v>223</v>
      </c>
      <c r="G44" s="21">
        <v>10</v>
      </c>
      <c r="H44" s="11" t="s">
        <v>245</v>
      </c>
    </row>
    <row r="45" spans="1:11" s="11" customFormat="1" hidden="1" x14ac:dyDescent="0.3">
      <c r="A45" s="21">
        <v>44</v>
      </c>
      <c r="B45" s="11" t="s">
        <v>95</v>
      </c>
      <c r="C45" s="13">
        <v>40783</v>
      </c>
      <c r="D45" s="11" t="s">
        <v>202</v>
      </c>
      <c r="E45" s="14">
        <f ca="1">YEAR(TODAY())-YEAR(Tabela246[[#This Row],[data nascimento]])</f>
        <v>15</v>
      </c>
      <c r="F45" s="11" t="s">
        <v>220</v>
      </c>
      <c r="G45" s="21"/>
    </row>
    <row r="46" spans="1:11" s="11" customFormat="1" x14ac:dyDescent="0.3">
      <c r="A46" s="21">
        <v>45</v>
      </c>
      <c r="B46" s="11" t="s">
        <v>190</v>
      </c>
      <c r="C46" s="12">
        <v>40992</v>
      </c>
      <c r="D46" s="11" t="s">
        <v>202</v>
      </c>
      <c r="E46" s="14">
        <f ca="1">YEAR(TODAY())-YEAR(Tabela246[[#This Row],[data nascimento]])</f>
        <v>14</v>
      </c>
      <c r="G46" s="21" t="s">
        <v>242</v>
      </c>
      <c r="H46" s="11" t="s">
        <v>245</v>
      </c>
    </row>
    <row r="47" spans="1:11" s="11" customFormat="1" x14ac:dyDescent="0.3">
      <c r="A47" s="21">
        <v>37</v>
      </c>
      <c r="B47" s="11" t="s">
        <v>79</v>
      </c>
      <c r="C47" s="12">
        <v>42532</v>
      </c>
      <c r="D47" s="11" t="s">
        <v>202</v>
      </c>
      <c r="E47" s="14">
        <f ca="1">YEAR(TODAY())-YEAR(Tabela246[[#This Row],[data nascimento]])</f>
        <v>10</v>
      </c>
      <c r="F47" s="11" t="s">
        <v>220</v>
      </c>
      <c r="G47" s="21" t="s">
        <v>246</v>
      </c>
      <c r="H47" s="11" t="s">
        <v>245</v>
      </c>
    </row>
    <row r="48" spans="1:11" s="11" customFormat="1" x14ac:dyDescent="0.3">
      <c r="A48" s="21">
        <v>48</v>
      </c>
      <c r="B48" s="11" t="s">
        <v>206</v>
      </c>
      <c r="C48" s="12">
        <v>32846</v>
      </c>
      <c r="D48" s="11" t="s">
        <v>203</v>
      </c>
      <c r="E48" s="14">
        <f ca="1">YEAR(TODAY())-YEAR(Tabela246[[#This Row],[data nascimento]])</f>
        <v>37</v>
      </c>
      <c r="G48" s="21" t="s">
        <v>244</v>
      </c>
      <c r="H48" s="11" t="s">
        <v>245</v>
      </c>
    </row>
    <row r="49" spans="1:11" s="11" customFormat="1" x14ac:dyDescent="0.3">
      <c r="A49" s="21">
        <v>47</v>
      </c>
      <c r="B49" s="11" t="s">
        <v>192</v>
      </c>
      <c r="C49" s="12">
        <v>43394</v>
      </c>
      <c r="D49" s="11" t="s">
        <v>202</v>
      </c>
      <c r="E49" s="14">
        <f ca="1">YEAR(TODAY())-YEAR(Tabela246[[#This Row],[data nascimento]])</f>
        <v>8</v>
      </c>
      <c r="F49" s="11" t="s">
        <v>216</v>
      </c>
      <c r="G49" s="21">
        <v>12</v>
      </c>
      <c r="H49" s="11" t="s">
        <v>245</v>
      </c>
      <c r="J49" s="11">
        <v>33</v>
      </c>
      <c r="K49" s="27">
        <f>J49*40</f>
        <v>1320</v>
      </c>
    </row>
    <row r="50" spans="1:11" s="11" customFormat="1" x14ac:dyDescent="0.3">
      <c r="A50" s="21">
        <v>49</v>
      </c>
      <c r="B50" s="11" t="s">
        <v>195</v>
      </c>
      <c r="C50" s="12">
        <v>40682</v>
      </c>
      <c r="D50" s="11" t="s">
        <v>202</v>
      </c>
      <c r="E50" s="14">
        <f ca="1">YEAR(TODAY())-YEAR(Tabela246[[#This Row],[data nascimento]])</f>
        <v>15</v>
      </c>
      <c r="G50" s="21" t="s">
        <v>242</v>
      </c>
      <c r="H50" s="11" t="s">
        <v>245</v>
      </c>
      <c r="J50" s="11">
        <v>3</v>
      </c>
      <c r="K50" s="27">
        <f>J50*40</f>
        <v>120</v>
      </c>
    </row>
    <row r="51" spans="1:11" s="11" customFormat="1" x14ac:dyDescent="0.3">
      <c r="A51" s="21"/>
      <c r="G51" s="21"/>
      <c r="K51" s="27">
        <f>SUM(K49:K50)</f>
        <v>1440</v>
      </c>
    </row>
    <row r="55" spans="1:11" x14ac:dyDescent="0.3">
      <c r="B55" s="30" t="s">
        <v>250</v>
      </c>
      <c r="C55" s="30" t="s">
        <v>252</v>
      </c>
    </row>
    <row r="56" spans="1:11" x14ac:dyDescent="0.3">
      <c r="B56" s="30" t="s">
        <v>133</v>
      </c>
      <c r="C56" s="30" t="s">
        <v>242</v>
      </c>
    </row>
    <row r="57" spans="1:11" x14ac:dyDescent="0.3">
      <c r="B57" s="30" t="s">
        <v>251</v>
      </c>
      <c r="C57" s="30" t="s">
        <v>244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083F-D7C1-45B4-946F-2D24AD536B56}">
  <dimension ref="A1:J61"/>
  <sheetViews>
    <sheetView topLeftCell="A15" zoomScale="70" zoomScaleNormal="70" workbookViewId="0">
      <selection activeCell="C55" sqref="C55"/>
    </sheetView>
  </sheetViews>
  <sheetFormatPr defaultRowHeight="14.4" x14ac:dyDescent="0.3"/>
  <cols>
    <col min="1" max="1" width="8.88671875" style="20"/>
    <col min="2" max="2" width="34.109375" bestFit="1" customWidth="1"/>
    <col min="3" max="3" width="15.44140625" bestFit="1" customWidth="1"/>
    <col min="4" max="4" width="10.5546875" customWidth="1"/>
    <col min="5" max="5" width="7.44140625" customWidth="1"/>
    <col min="6" max="6" width="31.33203125" hidden="1" customWidth="1"/>
    <col min="7" max="7" width="12" bestFit="1" customWidth="1"/>
    <col min="8" max="8" width="18.21875" customWidth="1"/>
    <col min="9" max="9" width="17" customWidth="1"/>
  </cols>
  <sheetData>
    <row r="1" spans="1:10" x14ac:dyDescent="0.3">
      <c r="A1" s="20" t="s">
        <v>127</v>
      </c>
      <c r="B1" t="s">
        <v>128</v>
      </c>
      <c r="C1" t="s">
        <v>200</v>
      </c>
      <c r="D1" t="s">
        <v>215</v>
      </c>
      <c r="E1" t="s">
        <v>212</v>
      </c>
      <c r="F1" t="s">
        <v>217</v>
      </c>
      <c r="G1" t="s">
        <v>237</v>
      </c>
      <c r="H1" t="s">
        <v>236</v>
      </c>
      <c r="I1" t="s">
        <v>238</v>
      </c>
      <c r="J1" t="s">
        <v>239</v>
      </c>
    </row>
    <row r="2" spans="1:10" s="11" customFormat="1" x14ac:dyDescent="0.3">
      <c r="A2" s="21">
        <v>1</v>
      </c>
      <c r="B2" s="11" t="s">
        <v>201</v>
      </c>
      <c r="C2" s="12">
        <v>40310</v>
      </c>
      <c r="D2" s="11" t="s">
        <v>204</v>
      </c>
      <c r="E2" s="14">
        <f ca="1">YEAR(TODAY())-YEAR(Tabela245[[#This Row],[data nascimento]])</f>
        <v>16</v>
      </c>
      <c r="G2" s="11" t="s">
        <v>225</v>
      </c>
      <c r="H2" s="11" t="s">
        <v>225</v>
      </c>
    </row>
    <row r="3" spans="1:10" s="11" customFormat="1" x14ac:dyDescent="0.3">
      <c r="A3" s="21">
        <v>2</v>
      </c>
      <c r="B3" s="11" t="s">
        <v>134</v>
      </c>
      <c r="C3" s="12">
        <v>42022</v>
      </c>
      <c r="D3" s="11" t="s">
        <v>202</v>
      </c>
      <c r="E3" s="14">
        <f ca="1">YEAR(TODAY())-YEAR(Tabela245[[#This Row],[data nascimento]])</f>
        <v>11</v>
      </c>
      <c r="G3" s="11" t="s">
        <v>225</v>
      </c>
      <c r="H3" s="11" t="s">
        <v>225</v>
      </c>
    </row>
    <row r="4" spans="1:10" s="11" customFormat="1" x14ac:dyDescent="0.3">
      <c r="A4" s="21">
        <v>3</v>
      </c>
      <c r="B4" s="11" t="s">
        <v>137</v>
      </c>
      <c r="C4" s="15">
        <v>41741</v>
      </c>
      <c r="D4" s="11" t="s">
        <v>202</v>
      </c>
      <c r="E4" s="14">
        <f ca="1">YEAR(TODAY())-YEAR(Tabela245[[#This Row],[data nascimento]])</f>
        <v>12</v>
      </c>
      <c r="G4" s="11" t="s">
        <v>225</v>
      </c>
    </row>
    <row r="5" spans="1:10" s="11" customFormat="1" x14ac:dyDescent="0.3">
      <c r="A5" s="21">
        <v>4</v>
      </c>
      <c r="B5" s="11" t="s">
        <v>140</v>
      </c>
      <c r="C5" s="15">
        <v>41098</v>
      </c>
      <c r="D5" s="11" t="s">
        <v>202</v>
      </c>
      <c r="E5" s="14">
        <f ca="1">YEAR(TODAY())-YEAR(Tabela245[[#This Row],[data nascimento]])</f>
        <v>14</v>
      </c>
      <c r="F5" s="11" t="s">
        <v>220</v>
      </c>
      <c r="G5" s="11" t="s">
        <v>225</v>
      </c>
    </row>
    <row r="6" spans="1:10" s="11" customFormat="1" x14ac:dyDescent="0.3">
      <c r="A6" s="21">
        <v>5</v>
      </c>
      <c r="B6" s="11" t="s">
        <v>142</v>
      </c>
      <c r="C6" s="12">
        <v>40577</v>
      </c>
      <c r="D6" s="11" t="s">
        <v>202</v>
      </c>
      <c r="E6" s="14">
        <f ca="1">YEAR(TODAY())-YEAR(Tabela245[[#This Row],[data nascimento]])</f>
        <v>15</v>
      </c>
      <c r="G6" s="11" t="s">
        <v>225</v>
      </c>
      <c r="H6" s="11" t="s">
        <v>225</v>
      </c>
    </row>
    <row r="7" spans="1:10" s="11" customFormat="1" x14ac:dyDescent="0.3">
      <c r="A7" s="21">
        <v>6</v>
      </c>
      <c r="B7" s="11" t="s">
        <v>143</v>
      </c>
      <c r="C7" s="15">
        <v>39730</v>
      </c>
      <c r="D7" s="11" t="s">
        <v>202</v>
      </c>
      <c r="E7" s="14">
        <f ca="1">YEAR(TODAY())-YEAR(Tabela245[[#This Row],[data nascimento]])</f>
        <v>18</v>
      </c>
      <c r="G7" s="11" t="s">
        <v>225</v>
      </c>
    </row>
    <row r="8" spans="1:10" s="11" customFormat="1" hidden="1" x14ac:dyDescent="0.3">
      <c r="A8" s="21">
        <v>7</v>
      </c>
      <c r="B8" s="11" t="s">
        <v>214</v>
      </c>
      <c r="C8" s="12">
        <v>42003</v>
      </c>
      <c r="D8" s="11" t="s">
        <v>202</v>
      </c>
      <c r="E8" s="14">
        <f ca="1">YEAR(TODAY())-YEAR(Tabela245[[#This Row],[data nascimento]])</f>
        <v>12</v>
      </c>
    </row>
    <row r="9" spans="1:10" s="11" customFormat="1" x14ac:dyDescent="0.3">
      <c r="A9" s="21">
        <v>8</v>
      </c>
      <c r="B9" s="11" t="s">
        <v>99</v>
      </c>
      <c r="C9" s="12">
        <v>41289</v>
      </c>
      <c r="D9" s="11" t="s">
        <v>202</v>
      </c>
      <c r="E9" s="14">
        <f ca="1">YEAR(TODAY())-YEAR(Tabela245[[#This Row],[data nascimento]])</f>
        <v>13</v>
      </c>
      <c r="F9" s="11" t="s">
        <v>220</v>
      </c>
      <c r="G9" s="11" t="s">
        <v>225</v>
      </c>
    </row>
    <row r="10" spans="1:10" s="11" customFormat="1" x14ac:dyDescent="0.3">
      <c r="A10" s="21">
        <v>9</v>
      </c>
      <c r="B10" s="11" t="s">
        <v>147</v>
      </c>
      <c r="C10" s="12">
        <v>41611</v>
      </c>
      <c r="D10" s="11" t="s">
        <v>202</v>
      </c>
      <c r="E10" s="14">
        <f ca="1">YEAR(TODAY())-YEAR(Tabela245[[#This Row],[data nascimento]])</f>
        <v>13</v>
      </c>
      <c r="F10" s="11" t="s">
        <v>220</v>
      </c>
      <c r="G10" s="11" t="s">
        <v>225</v>
      </c>
    </row>
    <row r="11" spans="1:10" s="11" customFormat="1" x14ac:dyDescent="0.3">
      <c r="A11" s="21">
        <v>11</v>
      </c>
      <c r="B11" s="11" t="s">
        <v>213</v>
      </c>
      <c r="C11" s="12">
        <v>39845</v>
      </c>
      <c r="D11" s="11" t="s">
        <v>204</v>
      </c>
      <c r="E11" s="14">
        <f ca="1">YEAR(TODAY())-YEAR(Tabela245[[#This Row],[data nascimento]])</f>
        <v>17</v>
      </c>
      <c r="G11" s="11" t="s">
        <v>225</v>
      </c>
      <c r="H11" s="11" t="s">
        <v>225</v>
      </c>
    </row>
    <row r="12" spans="1:10" s="11" customFormat="1" x14ac:dyDescent="0.3">
      <c r="A12" s="21">
        <v>10</v>
      </c>
      <c r="B12" s="11" t="s">
        <v>149</v>
      </c>
      <c r="C12" s="12">
        <v>41422</v>
      </c>
      <c r="D12" s="11" t="s">
        <v>203</v>
      </c>
      <c r="E12" s="14">
        <f ca="1">YEAR(TODAY())-YEAR(Tabela245[[#This Row],[data nascimento]])</f>
        <v>13</v>
      </c>
      <c r="G12" s="11" t="s">
        <v>225</v>
      </c>
    </row>
    <row r="13" spans="1:10" s="11" customFormat="1" hidden="1" x14ac:dyDescent="0.3">
      <c r="A13" s="21">
        <v>12</v>
      </c>
      <c r="B13" s="11" t="s">
        <v>210</v>
      </c>
      <c r="C13" s="12">
        <v>39555</v>
      </c>
      <c r="D13" s="11" t="s">
        <v>204</v>
      </c>
      <c r="E13" s="14">
        <f ca="1">YEAR(TODAY())-YEAR(Tabela245[[#This Row],[data nascimento]])</f>
        <v>18</v>
      </c>
    </row>
    <row r="14" spans="1:10" s="11" customFormat="1" x14ac:dyDescent="0.3">
      <c r="A14" s="21">
        <v>13</v>
      </c>
      <c r="B14" s="11" t="s">
        <v>123</v>
      </c>
      <c r="C14" s="12">
        <v>41778</v>
      </c>
      <c r="D14" s="11" t="s">
        <v>202</v>
      </c>
      <c r="E14" s="14">
        <f ca="1">YEAR(TODAY())-YEAR(Tabela245[[#This Row],[data nascimento]])</f>
        <v>12</v>
      </c>
      <c r="F14" s="11" t="s">
        <v>220</v>
      </c>
      <c r="G14" s="11" t="s">
        <v>234</v>
      </c>
    </row>
    <row r="15" spans="1:10" s="11" customFormat="1" x14ac:dyDescent="0.3">
      <c r="A15" s="21">
        <v>14</v>
      </c>
      <c r="B15" s="11" t="s">
        <v>154</v>
      </c>
      <c r="C15" s="12">
        <v>40065</v>
      </c>
      <c r="D15" s="11" t="s">
        <v>203</v>
      </c>
      <c r="E15" s="14">
        <f ca="1">YEAR(TODAY())-YEAR(Tabela245[[#This Row],[data nascimento]])</f>
        <v>17</v>
      </c>
      <c r="G15" s="11" t="s">
        <v>225</v>
      </c>
    </row>
    <row r="16" spans="1:10" s="11" customFormat="1" x14ac:dyDescent="0.3">
      <c r="A16" s="21">
        <v>15</v>
      </c>
      <c r="B16" s="11" t="s">
        <v>19</v>
      </c>
      <c r="C16" s="12">
        <v>42249</v>
      </c>
      <c r="D16" s="11" t="s">
        <v>202</v>
      </c>
      <c r="E16" s="14">
        <f ca="1">YEAR(TODAY())-YEAR(Tabela245[[#This Row],[data nascimento]])</f>
        <v>11</v>
      </c>
      <c r="F16" s="11" t="s">
        <v>220</v>
      </c>
      <c r="G16" s="11" t="s">
        <v>225</v>
      </c>
    </row>
    <row r="17" spans="1:8" s="11" customFormat="1" hidden="1" x14ac:dyDescent="0.3">
      <c r="A17" s="21">
        <v>16</v>
      </c>
      <c r="B17" s="11" t="s">
        <v>27</v>
      </c>
      <c r="C17" s="12">
        <v>39981</v>
      </c>
      <c r="D17" s="11" t="s">
        <v>202</v>
      </c>
      <c r="E17" s="14">
        <f ca="1">YEAR(TODAY())-YEAR(Tabela245[[#This Row],[data nascimento]])</f>
        <v>17</v>
      </c>
      <c r="F17" s="11" t="s">
        <v>221</v>
      </c>
    </row>
    <row r="18" spans="1:8" s="11" customFormat="1" x14ac:dyDescent="0.3">
      <c r="A18" s="21">
        <v>17</v>
      </c>
      <c r="B18" s="11" t="s">
        <v>55</v>
      </c>
      <c r="C18" s="12">
        <v>40620</v>
      </c>
      <c r="D18" s="11" t="s">
        <v>202</v>
      </c>
      <c r="E18" s="14">
        <f ca="1">YEAR(TODAY())-YEAR(Tabela245[[#This Row],[data nascimento]])</f>
        <v>15</v>
      </c>
      <c r="F18" s="11" t="s">
        <v>220</v>
      </c>
      <c r="G18" s="11" t="s">
        <v>234</v>
      </c>
    </row>
    <row r="19" spans="1:8" s="11" customFormat="1" hidden="1" x14ac:dyDescent="0.3">
      <c r="A19" s="21">
        <v>18</v>
      </c>
      <c r="B19" s="11" t="s">
        <v>208</v>
      </c>
      <c r="C19" s="12">
        <v>39860</v>
      </c>
      <c r="D19" s="11" t="s">
        <v>204</v>
      </c>
      <c r="E19" s="14">
        <f ca="1">YEAR(TODAY())-YEAR(Tabela245[[#This Row],[data nascimento]])</f>
        <v>17</v>
      </c>
    </row>
    <row r="20" spans="1:8" s="11" customFormat="1" x14ac:dyDescent="0.3">
      <c r="A20" s="21">
        <v>19</v>
      </c>
      <c r="B20" s="11" t="s">
        <v>209</v>
      </c>
      <c r="C20" s="12">
        <v>41772</v>
      </c>
      <c r="D20" s="11" t="s">
        <v>202</v>
      </c>
      <c r="E20" s="14">
        <f ca="1">YEAR(TODAY())-YEAR(Tabela245[[#This Row],[data nascimento]])</f>
        <v>12</v>
      </c>
      <c r="G20" s="11" t="s">
        <v>225</v>
      </c>
      <c r="H20" s="11" t="s">
        <v>225</v>
      </c>
    </row>
    <row r="21" spans="1:8" s="11" customFormat="1" x14ac:dyDescent="0.3">
      <c r="A21" s="21">
        <v>20</v>
      </c>
      <c r="B21" s="11" t="s">
        <v>160</v>
      </c>
      <c r="C21" s="12">
        <v>42242</v>
      </c>
      <c r="D21" s="11" t="s">
        <v>202</v>
      </c>
      <c r="E21" s="14">
        <f ca="1">YEAR(TODAY())-YEAR(Tabela245[[#This Row],[data nascimento]])</f>
        <v>11</v>
      </c>
      <c r="F21" s="11" t="s">
        <v>220</v>
      </c>
      <c r="G21" s="11" t="s">
        <v>225</v>
      </c>
    </row>
    <row r="22" spans="1:8" s="11" customFormat="1" x14ac:dyDescent="0.3">
      <c r="A22" s="21">
        <v>21</v>
      </c>
      <c r="B22" s="11" t="s">
        <v>161</v>
      </c>
      <c r="C22" s="15">
        <v>42404</v>
      </c>
      <c r="D22" s="11" t="s">
        <v>202</v>
      </c>
      <c r="E22" s="14">
        <f ca="1">YEAR(TODAY())-YEAR(Tabela245[[#This Row],[data nascimento]])</f>
        <v>10</v>
      </c>
      <c r="F22" s="11" t="s">
        <v>220</v>
      </c>
      <c r="G22" s="11" t="s">
        <v>225</v>
      </c>
    </row>
    <row r="23" spans="1:8" s="11" customFormat="1" x14ac:dyDescent="0.3">
      <c r="A23" s="21">
        <v>22</v>
      </c>
      <c r="B23" s="11" t="s">
        <v>163</v>
      </c>
      <c r="C23" s="15">
        <v>42857</v>
      </c>
      <c r="D23" s="11" t="s">
        <v>202</v>
      </c>
      <c r="E23" s="14">
        <f ca="1">YEAR(TODAY())-YEAR(Tabela245[[#This Row],[data nascimento]])</f>
        <v>9</v>
      </c>
      <c r="F23" s="11" t="s">
        <v>223</v>
      </c>
      <c r="G23" s="11" t="s">
        <v>225</v>
      </c>
    </row>
    <row r="24" spans="1:8" s="11" customFormat="1" x14ac:dyDescent="0.3">
      <c r="A24" s="21">
        <v>23</v>
      </c>
      <c r="B24" s="11" t="s">
        <v>164</v>
      </c>
      <c r="C24" s="12">
        <v>39160</v>
      </c>
      <c r="D24" s="11" t="s">
        <v>202</v>
      </c>
      <c r="E24" s="14">
        <f ca="1">YEAR(TODAY())-YEAR(Tabela245[[#This Row],[data nascimento]])</f>
        <v>19</v>
      </c>
      <c r="G24" s="11" t="s">
        <v>225</v>
      </c>
    </row>
    <row r="25" spans="1:8" s="11" customFormat="1" x14ac:dyDescent="0.3">
      <c r="A25" s="21">
        <v>24</v>
      </c>
      <c r="B25" s="11" t="s">
        <v>224</v>
      </c>
      <c r="C25" s="12">
        <v>41335</v>
      </c>
      <c r="D25" s="11" t="s">
        <v>202</v>
      </c>
      <c r="E25" s="14">
        <f ca="1">YEAR(TODAY())-YEAR(Tabela245[[#This Row],[data nascimento]])</f>
        <v>13</v>
      </c>
      <c r="G25" s="11" t="s">
        <v>225</v>
      </c>
    </row>
    <row r="26" spans="1:8" s="11" customFormat="1" x14ac:dyDescent="0.3">
      <c r="A26" s="21">
        <v>25</v>
      </c>
      <c r="B26" s="11" t="s">
        <v>168</v>
      </c>
      <c r="C26" s="15">
        <v>41436</v>
      </c>
      <c r="D26" s="11" t="s">
        <v>202</v>
      </c>
      <c r="E26" s="14">
        <f ca="1">YEAR(TODAY())-YEAR(Tabela245[[#This Row],[data nascimento]])</f>
        <v>13</v>
      </c>
      <c r="F26" s="11" t="s">
        <v>220</v>
      </c>
      <c r="G26" s="11" t="s">
        <v>225</v>
      </c>
    </row>
    <row r="27" spans="1:8" s="11" customFormat="1" hidden="1" x14ac:dyDescent="0.3">
      <c r="A27" s="21">
        <v>26</v>
      </c>
      <c r="B27" s="11" t="s">
        <v>170</v>
      </c>
      <c r="C27" s="12">
        <v>41876</v>
      </c>
      <c r="D27" s="11" t="s">
        <v>202</v>
      </c>
      <c r="E27" s="14">
        <f ca="1">YEAR(TODAY())-YEAR(Tabela245[[#This Row],[data nascimento]])</f>
        <v>12</v>
      </c>
      <c r="F27" s="11" t="s">
        <v>218</v>
      </c>
    </row>
    <row r="28" spans="1:8" s="11" customFormat="1" x14ac:dyDescent="0.3">
      <c r="A28" s="21">
        <v>27</v>
      </c>
      <c r="B28" s="11" t="s">
        <v>171</v>
      </c>
      <c r="C28" s="12">
        <v>41094</v>
      </c>
      <c r="D28" s="11" t="s">
        <v>203</v>
      </c>
      <c r="E28" s="14">
        <f ca="1">YEAR(TODAY())-YEAR(Tabela245[[#This Row],[data nascimento]])</f>
        <v>14</v>
      </c>
      <c r="G28" s="11" t="s">
        <v>225</v>
      </c>
      <c r="H28" s="11" t="s">
        <v>225</v>
      </c>
    </row>
    <row r="29" spans="1:8" s="11" customFormat="1" x14ac:dyDescent="0.3">
      <c r="A29" s="21">
        <v>28</v>
      </c>
      <c r="B29" s="11" t="s">
        <v>173</v>
      </c>
      <c r="C29" s="15">
        <v>41165</v>
      </c>
      <c r="D29" s="11" t="s">
        <v>202</v>
      </c>
      <c r="E29" s="14">
        <f ca="1">YEAR(TODAY())-YEAR(Tabela245[[#This Row],[data nascimento]])</f>
        <v>14</v>
      </c>
      <c r="G29" s="11" t="s">
        <v>225</v>
      </c>
    </row>
    <row r="30" spans="1:8" s="11" customFormat="1" hidden="1" x14ac:dyDescent="0.3">
      <c r="A30" s="21">
        <v>29</v>
      </c>
      <c r="B30" s="11" t="s">
        <v>115</v>
      </c>
      <c r="C30" s="12">
        <v>41647</v>
      </c>
      <c r="D30" s="11" t="s">
        <v>202</v>
      </c>
      <c r="E30" s="14">
        <f ca="1">YEAR(TODAY())-YEAR(Tabela245[[#This Row],[data nascimento]])</f>
        <v>12</v>
      </c>
      <c r="F30" s="11" t="s">
        <v>220</v>
      </c>
    </row>
    <row r="31" spans="1:8" s="11" customFormat="1" hidden="1" x14ac:dyDescent="0.3">
      <c r="A31" s="21">
        <v>30</v>
      </c>
      <c r="B31" s="11" t="s">
        <v>87</v>
      </c>
      <c r="C31" s="12">
        <v>42155</v>
      </c>
      <c r="D31" s="11" t="s">
        <v>202</v>
      </c>
      <c r="E31" s="14">
        <f ca="1">YEAR(TODAY())-YEAR(Tabela245[[#This Row],[data nascimento]])</f>
        <v>11</v>
      </c>
      <c r="F31" s="11" t="s">
        <v>220</v>
      </c>
    </row>
    <row r="32" spans="1:8" s="11" customFormat="1" x14ac:dyDescent="0.3">
      <c r="A32" s="21">
        <v>32</v>
      </c>
      <c r="B32" s="11" t="s">
        <v>207</v>
      </c>
      <c r="C32" s="12">
        <v>41252</v>
      </c>
      <c r="D32" s="11" t="s">
        <v>202</v>
      </c>
      <c r="E32" s="14">
        <f ca="1">YEAR(TODAY())-YEAR(Tabela245[[#This Row],[data nascimento]])</f>
        <v>14</v>
      </c>
      <c r="G32" s="11" t="s">
        <v>225</v>
      </c>
    </row>
    <row r="33" spans="1:8" s="11" customFormat="1" x14ac:dyDescent="0.3">
      <c r="A33" s="21">
        <v>31</v>
      </c>
      <c r="B33" s="11" t="s">
        <v>175</v>
      </c>
      <c r="C33" s="12">
        <v>41204</v>
      </c>
      <c r="D33" s="11" t="s">
        <v>202</v>
      </c>
      <c r="E33" s="14">
        <f ca="1">YEAR(TODAY())-YEAR(Tabela245[[#This Row],[data nascimento]])</f>
        <v>14</v>
      </c>
      <c r="G33" s="11" t="s">
        <v>225</v>
      </c>
    </row>
    <row r="34" spans="1:8" s="11" customFormat="1" x14ac:dyDescent="0.3">
      <c r="A34" s="21">
        <v>33</v>
      </c>
      <c r="B34" s="11" t="s">
        <v>43</v>
      </c>
      <c r="C34" s="12">
        <v>42475</v>
      </c>
      <c r="D34" s="11" t="s">
        <v>202</v>
      </c>
      <c r="E34" s="14">
        <f ca="1">YEAR(TODAY())-YEAR(Tabela245[[#This Row],[data nascimento]])</f>
        <v>10</v>
      </c>
      <c r="F34" s="11" t="s">
        <v>220</v>
      </c>
      <c r="G34" s="11" t="s">
        <v>234</v>
      </c>
    </row>
    <row r="35" spans="1:8" s="11" customFormat="1" x14ac:dyDescent="0.3">
      <c r="A35" s="21">
        <v>34</v>
      </c>
      <c r="B35" s="11" t="s">
        <v>35</v>
      </c>
      <c r="C35" s="12">
        <v>42485</v>
      </c>
      <c r="D35" s="11" t="s">
        <v>202</v>
      </c>
      <c r="E35" s="14">
        <f ca="1">YEAR(TODAY())-YEAR(Tabela245[[#This Row],[data nascimento]])</f>
        <v>10</v>
      </c>
      <c r="F35" s="11" t="s">
        <v>220</v>
      </c>
      <c r="G35" s="11" t="s">
        <v>225</v>
      </c>
    </row>
    <row r="36" spans="1:8" s="11" customFormat="1" hidden="1" x14ac:dyDescent="0.3">
      <c r="A36" s="21">
        <v>35</v>
      </c>
      <c r="B36" s="11" t="s">
        <v>179</v>
      </c>
      <c r="C36" s="12">
        <v>42347</v>
      </c>
      <c r="D36" s="11" t="s">
        <v>202</v>
      </c>
      <c r="E36" s="14">
        <f ca="1">YEAR(TODAY())-YEAR(Tabela245[[#This Row],[data nascimento]])</f>
        <v>11</v>
      </c>
      <c r="F36" s="11" t="s">
        <v>220</v>
      </c>
    </row>
    <row r="37" spans="1:8" s="11" customFormat="1" x14ac:dyDescent="0.3">
      <c r="A37" s="21">
        <v>36</v>
      </c>
      <c r="B37" s="11" t="s">
        <v>180</v>
      </c>
      <c r="C37" s="12">
        <v>42080</v>
      </c>
      <c r="D37" s="11" t="s">
        <v>202</v>
      </c>
      <c r="E37" s="14">
        <f ca="1">YEAR(TODAY())-YEAR(Tabela245[[#This Row],[data nascimento]])</f>
        <v>11</v>
      </c>
      <c r="F37" s="11" t="s">
        <v>220</v>
      </c>
      <c r="G37" s="11" t="s">
        <v>225</v>
      </c>
    </row>
    <row r="38" spans="1:8" s="11" customFormat="1" x14ac:dyDescent="0.3">
      <c r="A38" s="21">
        <v>37</v>
      </c>
      <c r="B38" s="11" t="s">
        <v>79</v>
      </c>
      <c r="C38" s="12">
        <v>42532</v>
      </c>
      <c r="D38" s="11" t="s">
        <v>202</v>
      </c>
      <c r="E38" s="14">
        <f ca="1">YEAR(TODAY())-YEAR(Tabela245[[#This Row],[data nascimento]])</f>
        <v>10</v>
      </c>
      <c r="F38" s="11" t="s">
        <v>220</v>
      </c>
      <c r="G38" s="11" t="s">
        <v>225</v>
      </c>
    </row>
    <row r="39" spans="1:8" s="11" customFormat="1" hidden="1" x14ac:dyDescent="0.3">
      <c r="A39" s="21">
        <v>38</v>
      </c>
      <c r="B39" s="11" t="s">
        <v>183</v>
      </c>
      <c r="C39" s="12">
        <v>42234</v>
      </c>
      <c r="D39" s="11" t="s">
        <v>202</v>
      </c>
      <c r="E39" s="14">
        <f ca="1">YEAR(TODAY())-YEAR(Tabela245[[#This Row],[data nascimento]])</f>
        <v>11</v>
      </c>
      <c r="F39" s="11" t="s">
        <v>220</v>
      </c>
    </row>
    <row r="40" spans="1:8" s="11" customFormat="1" x14ac:dyDescent="0.3">
      <c r="A40" s="21">
        <v>39</v>
      </c>
      <c r="B40" s="11" t="s">
        <v>23</v>
      </c>
      <c r="C40" s="12">
        <v>42201</v>
      </c>
      <c r="D40" s="11" t="s">
        <v>202</v>
      </c>
      <c r="E40" s="14">
        <f ca="1">YEAR(TODAY())-YEAR(Tabela245[[#This Row],[data nascimento]])</f>
        <v>11</v>
      </c>
      <c r="F40" s="11" t="s">
        <v>220</v>
      </c>
      <c r="G40" s="11" t="s">
        <v>225</v>
      </c>
      <c r="H40" s="11" t="s">
        <v>225</v>
      </c>
    </row>
    <row r="41" spans="1:8" s="11" customFormat="1" x14ac:dyDescent="0.3">
      <c r="A41" s="21">
        <v>40</v>
      </c>
      <c r="B41" s="11" t="s">
        <v>185</v>
      </c>
      <c r="C41" s="12">
        <v>41827</v>
      </c>
      <c r="D41" s="11" t="s">
        <v>202</v>
      </c>
      <c r="E41" s="14">
        <f ca="1">YEAR(TODAY())-YEAR(Tabela245[[#This Row],[data nascimento]])</f>
        <v>12</v>
      </c>
      <c r="G41" s="11" t="s">
        <v>225</v>
      </c>
      <c r="H41" s="11" t="s">
        <v>225</v>
      </c>
    </row>
    <row r="42" spans="1:8" s="11" customFormat="1" x14ac:dyDescent="0.3">
      <c r="A42" s="21">
        <v>41</v>
      </c>
      <c r="B42" s="11" t="s">
        <v>211</v>
      </c>
      <c r="C42" s="12">
        <v>41089</v>
      </c>
      <c r="D42" s="11" t="s">
        <v>203</v>
      </c>
      <c r="E42" s="14">
        <f ca="1">YEAR(TODAY())-YEAR(Tabela245[[#This Row],[data nascimento]])</f>
        <v>14</v>
      </c>
      <c r="G42" s="11" t="s">
        <v>225</v>
      </c>
    </row>
    <row r="43" spans="1:8" s="11" customFormat="1" hidden="1" x14ac:dyDescent="0.3">
      <c r="A43" s="21">
        <v>42</v>
      </c>
      <c r="B43" s="11" t="s">
        <v>205</v>
      </c>
      <c r="C43" s="12">
        <v>37748</v>
      </c>
      <c r="D43" s="11" t="s">
        <v>203</v>
      </c>
      <c r="E43" s="14">
        <f ca="1">YEAR(TODAY())-YEAR(Tabela245[[#This Row],[data nascimento]])</f>
        <v>23</v>
      </c>
    </row>
    <row r="44" spans="1:8" s="11" customFormat="1" hidden="1" x14ac:dyDescent="0.3">
      <c r="A44" s="21">
        <v>43</v>
      </c>
      <c r="B44" s="11" t="s">
        <v>83</v>
      </c>
      <c r="C44" s="12">
        <v>43006</v>
      </c>
      <c r="D44" s="11" t="s">
        <v>202</v>
      </c>
      <c r="E44" s="14">
        <f ca="1">YEAR(TODAY())-YEAR(Tabela245[[#This Row],[data nascimento]])</f>
        <v>9</v>
      </c>
      <c r="F44" s="11" t="s">
        <v>223</v>
      </c>
    </row>
    <row r="45" spans="1:8" s="11" customFormat="1" hidden="1" x14ac:dyDescent="0.3">
      <c r="A45" s="21">
        <v>44</v>
      </c>
      <c r="B45" s="11" t="s">
        <v>95</v>
      </c>
      <c r="C45" s="12">
        <v>40783</v>
      </c>
      <c r="D45" s="11" t="s">
        <v>202</v>
      </c>
      <c r="E45" s="14">
        <f ca="1">YEAR(TODAY())-YEAR(Tabela245[[#This Row],[data nascimento]])</f>
        <v>15</v>
      </c>
      <c r="F45" s="11" t="s">
        <v>220</v>
      </c>
    </row>
    <row r="46" spans="1:8" s="11" customFormat="1" x14ac:dyDescent="0.3">
      <c r="A46" s="21">
        <v>45</v>
      </c>
      <c r="B46" s="11" t="s">
        <v>190</v>
      </c>
      <c r="C46" s="12">
        <v>40992</v>
      </c>
      <c r="D46" s="11" t="s">
        <v>202</v>
      </c>
      <c r="E46" s="14">
        <f ca="1">YEAR(TODAY())-YEAR(Tabela245[[#This Row],[data nascimento]])</f>
        <v>14</v>
      </c>
      <c r="G46" s="11" t="s">
        <v>225</v>
      </c>
      <c r="H46" s="11" t="s">
        <v>225</v>
      </c>
    </row>
    <row r="47" spans="1:8" s="11" customFormat="1" x14ac:dyDescent="0.3">
      <c r="A47" s="21">
        <v>46</v>
      </c>
      <c r="B47" s="11" t="s">
        <v>75</v>
      </c>
      <c r="C47" s="12">
        <v>42532</v>
      </c>
      <c r="D47" s="11" t="s">
        <v>202</v>
      </c>
      <c r="E47" s="14">
        <f ca="1">YEAR(TODAY())-YEAR(Tabela245[[#This Row],[data nascimento]])</f>
        <v>10</v>
      </c>
      <c r="F47" s="11" t="s">
        <v>220</v>
      </c>
      <c r="G47" s="11" t="s">
        <v>225</v>
      </c>
    </row>
    <row r="48" spans="1:8" s="11" customFormat="1" hidden="1" x14ac:dyDescent="0.3">
      <c r="A48" s="21">
        <v>48</v>
      </c>
      <c r="B48" s="11" t="s">
        <v>206</v>
      </c>
      <c r="C48" s="12">
        <v>32846</v>
      </c>
      <c r="D48" s="11" t="s">
        <v>203</v>
      </c>
      <c r="E48" s="14">
        <f ca="1">YEAR(TODAY())-YEAR(Tabela245[[#This Row],[data nascimento]])</f>
        <v>37</v>
      </c>
    </row>
    <row r="49" spans="1:7" s="11" customFormat="1" x14ac:dyDescent="0.3">
      <c r="A49" s="21">
        <v>47</v>
      </c>
      <c r="B49" s="11" t="s">
        <v>192</v>
      </c>
      <c r="C49" s="12">
        <v>43394</v>
      </c>
      <c r="D49" s="11" t="s">
        <v>202</v>
      </c>
      <c r="E49" s="14">
        <f ca="1">YEAR(TODAY())-YEAR(Tabela245[[#This Row],[data nascimento]])</f>
        <v>8</v>
      </c>
      <c r="F49" s="11" t="s">
        <v>216</v>
      </c>
      <c r="G49" s="11" t="s">
        <v>225</v>
      </c>
    </row>
    <row r="50" spans="1:7" s="11" customFormat="1" x14ac:dyDescent="0.3">
      <c r="A50" s="21">
        <v>49</v>
      </c>
      <c r="B50" s="11" t="s">
        <v>195</v>
      </c>
      <c r="C50" s="12">
        <v>40682</v>
      </c>
      <c r="D50" s="11" t="s">
        <v>204</v>
      </c>
      <c r="E50" s="14">
        <f ca="1">YEAR(TODAY())-YEAR(Tabela245[[#This Row],[data nascimento]])</f>
        <v>15</v>
      </c>
      <c r="G50" s="11" t="s">
        <v>225</v>
      </c>
    </row>
    <row r="51" spans="1:7" s="11" customFormat="1" x14ac:dyDescent="0.3">
      <c r="A51" s="21"/>
    </row>
    <row r="52" spans="1:7" x14ac:dyDescent="0.3">
      <c r="A52" s="20">
        <v>1</v>
      </c>
      <c r="B52" t="s">
        <v>11</v>
      </c>
    </row>
    <row r="53" spans="1:7" x14ac:dyDescent="0.3">
      <c r="A53" s="20">
        <v>2</v>
      </c>
      <c r="B53" t="s">
        <v>226</v>
      </c>
    </row>
    <row r="54" spans="1:7" x14ac:dyDescent="0.3">
      <c r="A54" s="20">
        <v>3</v>
      </c>
      <c r="B54" t="s">
        <v>227</v>
      </c>
    </row>
    <row r="55" spans="1:7" x14ac:dyDescent="0.3">
      <c r="A55" s="20">
        <v>4</v>
      </c>
      <c r="B55" t="s">
        <v>228</v>
      </c>
    </row>
    <row r="56" spans="1:7" x14ac:dyDescent="0.3">
      <c r="A56" s="20">
        <v>5</v>
      </c>
      <c r="B56" t="s">
        <v>229</v>
      </c>
    </row>
    <row r="57" spans="1:7" x14ac:dyDescent="0.3">
      <c r="A57" s="20">
        <v>6</v>
      </c>
      <c r="B57" t="s">
        <v>230</v>
      </c>
    </row>
    <row r="58" spans="1:7" x14ac:dyDescent="0.3">
      <c r="A58" s="20">
        <v>7</v>
      </c>
      <c r="B58" t="s">
        <v>232</v>
      </c>
    </row>
    <row r="59" spans="1:7" x14ac:dyDescent="0.3">
      <c r="A59" s="20">
        <v>8</v>
      </c>
      <c r="B59" t="s">
        <v>233</v>
      </c>
    </row>
    <row r="60" spans="1:7" x14ac:dyDescent="0.3">
      <c r="A60" s="20">
        <v>9</v>
      </c>
      <c r="B60" t="s">
        <v>235</v>
      </c>
    </row>
    <row r="61" spans="1:7" x14ac:dyDescent="0.3">
      <c r="B61">
        <f>36+9</f>
        <v>45</v>
      </c>
      <c r="C61" s="26">
        <f>B61*15</f>
        <v>675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nomes</vt:lpstr>
      <vt:lpstr>Planilha1</vt:lpstr>
      <vt:lpstr>cadastro geral </vt:lpstr>
      <vt:lpstr>camisetas </vt:lpstr>
      <vt:lpstr>encontro inspetorial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cp:keywords/>
  <dc:description/>
  <cp:lastModifiedBy>Patricia Marinho</cp:lastModifiedBy>
  <cp:revision/>
  <dcterms:created xsi:type="dcterms:W3CDTF">2025-04-27T19:47:33Z</dcterms:created>
  <dcterms:modified xsi:type="dcterms:W3CDTF">2026-08-30T20:31:42Z</dcterms:modified>
  <cp:category/>
  <cp:contentStatus/>
</cp:coreProperties>
</file>